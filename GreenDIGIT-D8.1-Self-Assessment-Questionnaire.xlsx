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damlarowlandson/Documents/"/>
    </mc:Choice>
  </mc:AlternateContent>
  <xr:revisionPtr revIDLastSave="0" documentId="13_ncr:1_{4EEB6B0E-0131-734F-A0DF-424122369899}" xr6:coauthVersionLast="47" xr6:coauthVersionMax="47" xr10:uidLastSave="{00000000-0000-0000-0000-000000000000}"/>
  <bookViews>
    <workbookView xWindow="34560" yWindow="500" windowWidth="68800" windowHeight="28300" activeTab="1" xr2:uid="{CBA7BCB1-4269-E54C-A87E-C2ED991D6C3C}"/>
  </bookViews>
  <sheets>
    <sheet name="0. Introduction" sheetId="2" r:id="rId1"/>
    <sheet name="1. Scope &amp; Goals" sheetId="3" r:id="rId2"/>
    <sheet name="2-3. Assessment &amp; Actions" sheetId="4" r:id="rId3"/>
    <sheet name="4. Priority&amp;Capability Results" sheetId="5" r:id="rId4"/>
    <sheet name="5-6. Action Plan &amp; Monitoring"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6" l="1"/>
  <c r="H36" i="6"/>
  <c r="H35" i="6"/>
  <c r="H34" i="6"/>
  <c r="H33" i="6"/>
  <c r="H13" i="6"/>
  <c r="H12" i="6"/>
  <c r="H11" i="6"/>
  <c r="B95" i="4"/>
  <c r="B92" i="4"/>
  <c r="L97" i="4"/>
  <c r="L96" i="4"/>
  <c r="L95" i="4"/>
  <c r="L25" i="4"/>
  <c r="L26" i="4"/>
  <c r="H32" i="6"/>
  <c r="H31" i="6"/>
  <c r="H30" i="6"/>
  <c r="H29" i="6"/>
  <c r="H28" i="6"/>
  <c r="H27" i="6"/>
  <c r="H26" i="6"/>
  <c r="H25" i="6"/>
  <c r="H24" i="6"/>
  <c r="H23" i="6"/>
  <c r="H22" i="6"/>
  <c r="H21" i="6"/>
  <c r="H20" i="6"/>
  <c r="H19" i="6"/>
  <c r="H18" i="6"/>
  <c r="H17" i="6"/>
  <c r="H16" i="6"/>
  <c r="H15" i="6"/>
  <c r="H14" i="6"/>
  <c r="H10" i="6"/>
  <c r="H9" i="6"/>
  <c r="H8" i="6"/>
  <c r="H7" i="6"/>
  <c r="H6" i="6"/>
  <c r="H5" i="6"/>
  <c r="E6" i="5" a="1"/>
  <c r="E6" i="5" s="1"/>
  <c r="B5" i="6" a="1"/>
  <c r="B5" i="6" s="1"/>
  <c r="F5" i="6" s="1"/>
  <c r="L8" i="4"/>
  <c r="L55" i="4"/>
  <c r="L56" i="4"/>
  <c r="L57" i="4"/>
  <c r="L58" i="4"/>
  <c r="L59" i="4"/>
  <c r="L60" i="4"/>
  <c r="L61" i="4"/>
  <c r="L62" i="4"/>
  <c r="L63" i="4"/>
  <c r="L64" i="4"/>
  <c r="L65" i="4"/>
  <c r="L66" i="4"/>
  <c r="L67" i="4"/>
  <c r="L68" i="4"/>
  <c r="L70" i="4"/>
  <c r="L71" i="4"/>
  <c r="L72" i="4"/>
  <c r="L73" i="4"/>
  <c r="L74" i="4"/>
  <c r="L75" i="4"/>
  <c r="L76" i="4"/>
  <c r="L77" i="4"/>
  <c r="L78" i="4"/>
  <c r="L79" i="4"/>
  <c r="L80" i="4"/>
  <c r="L81" i="4"/>
  <c r="L82" i="4"/>
  <c r="L83" i="4"/>
  <c r="L84" i="4"/>
  <c r="L86" i="4"/>
  <c r="L87" i="4"/>
  <c r="L88" i="4"/>
  <c r="L89" i="4"/>
  <c r="L90" i="4"/>
  <c r="L91" i="4"/>
  <c r="L92" i="4"/>
  <c r="L93" i="4"/>
  <c r="L94" i="4"/>
  <c r="L27" i="4"/>
  <c r="L28" i="4"/>
  <c r="L29" i="4"/>
  <c r="L30" i="4"/>
  <c r="L31" i="4"/>
  <c r="L32" i="4"/>
  <c r="L33" i="4"/>
  <c r="L99" i="4"/>
  <c r="L100" i="4"/>
  <c r="L101" i="4"/>
  <c r="L102" i="4"/>
  <c r="L103" i="4"/>
  <c r="L104" i="4"/>
  <c r="L105" i="4"/>
  <c r="L106" i="4"/>
  <c r="L107" i="4"/>
  <c r="L108" i="4"/>
  <c r="L109" i="4"/>
  <c r="L110" i="4"/>
  <c r="L54" i="4"/>
  <c r="L36" i="4"/>
  <c r="L37" i="4"/>
  <c r="L38" i="4"/>
  <c r="L39" i="4"/>
  <c r="L40" i="4"/>
  <c r="L41" i="4"/>
  <c r="L42" i="4"/>
  <c r="L43" i="4"/>
  <c r="L44" i="4"/>
  <c r="L45" i="4"/>
  <c r="L46" i="4"/>
  <c r="L47" i="4"/>
  <c r="L48" i="4"/>
  <c r="L49" i="4"/>
  <c r="L50" i="4"/>
  <c r="L51" i="4"/>
  <c r="L52" i="4"/>
  <c r="L35" i="4"/>
  <c r="L23" i="4"/>
  <c r="L7" i="4"/>
  <c r="L9" i="4"/>
  <c r="L10" i="4"/>
  <c r="L11" i="4"/>
  <c r="L12" i="4"/>
  <c r="L13" i="4"/>
  <c r="L14" i="4"/>
  <c r="L15" i="4"/>
  <c r="L16" i="4"/>
  <c r="L17" i="4"/>
  <c r="L18" i="4"/>
  <c r="L19" i="4"/>
  <c r="L20" i="4"/>
  <c r="L21" i="4"/>
  <c r="L22" i="4"/>
  <c r="L6" i="4"/>
  <c r="B108" i="4"/>
  <c r="B105" i="4"/>
  <c r="B102" i="4"/>
  <c r="B99" i="4"/>
  <c r="B98" i="4"/>
  <c r="B31" i="4"/>
  <c r="B28" i="4"/>
  <c r="B25" i="4"/>
  <c r="B24" i="4"/>
  <c r="B89" i="4"/>
  <c r="B86" i="4"/>
  <c r="B85" i="4"/>
  <c r="B82" i="4"/>
  <c r="B79" i="4"/>
  <c r="B76" i="4"/>
  <c r="B73" i="4"/>
  <c r="B70" i="4"/>
  <c r="B69" i="4"/>
  <c r="B66" i="4"/>
  <c r="B63" i="4"/>
  <c r="B60" i="4"/>
  <c r="B57" i="4"/>
  <c r="B54" i="4"/>
  <c r="B53" i="4"/>
  <c r="B50" i="4"/>
  <c r="B47" i="4"/>
  <c r="B44" i="4"/>
  <c r="B41" i="4"/>
  <c r="B34" i="4"/>
  <c r="B21" i="4"/>
  <c r="B18" i="4"/>
  <c r="B15" i="4"/>
  <c r="B12" i="4"/>
  <c r="B6" i="4"/>
  <c r="B38" i="4"/>
  <c r="B35" i="4"/>
  <c r="B5" i="4"/>
  <c r="F37" i="6" l="1"/>
  <c r="C37" i="6"/>
  <c r="E37" i="6"/>
  <c r="B38" i="5"/>
  <c r="D38" i="5" s="1"/>
  <c r="I38" i="5" s="1"/>
  <c r="B18" i="5"/>
  <c r="C18" i="5" s="1"/>
  <c r="B19" i="5"/>
  <c r="C19" i="5" s="1"/>
  <c r="B36" i="5"/>
  <c r="D36" i="5" s="1"/>
  <c r="I36" i="5" s="1"/>
  <c r="B20" i="5"/>
  <c r="D20" i="5" s="1"/>
  <c r="I20" i="5" s="1"/>
  <c r="B21" i="5"/>
  <c r="C21" i="5" s="1"/>
  <c r="B22" i="5"/>
  <c r="C22" i="5" s="1"/>
  <c r="B32" i="5"/>
  <c r="C32" i="5" s="1"/>
  <c r="B33" i="5"/>
  <c r="C33" i="5" s="1"/>
  <c r="B14" i="5"/>
  <c r="C14" i="5" s="1"/>
  <c r="B15" i="5"/>
  <c r="C15" i="5" s="1"/>
  <c r="B16" i="5"/>
  <c r="C16" i="5" s="1"/>
  <c r="B26" i="5"/>
  <c r="C26" i="5" s="1"/>
  <c r="B35" i="5"/>
  <c r="C35" i="5" s="1"/>
  <c r="B13" i="5"/>
  <c r="C13" i="5" s="1"/>
  <c r="B28" i="5"/>
  <c r="C28" i="5" s="1"/>
  <c r="B29" i="5"/>
  <c r="C29" i="5" s="1"/>
  <c r="B8" i="5"/>
  <c r="C8" i="5" s="1"/>
  <c r="B30" i="5"/>
  <c r="C30" i="5" s="1"/>
  <c r="B34" i="5"/>
  <c r="C34" i="5" s="1"/>
  <c r="B9" i="5"/>
  <c r="D9" i="5" s="1"/>
  <c r="B25" i="5"/>
  <c r="C25" i="5" s="1"/>
  <c r="B10" i="5"/>
  <c r="C10" i="5" s="1"/>
  <c r="B31" i="5"/>
  <c r="C31" i="5" s="1"/>
  <c r="B11" i="5"/>
  <c r="C11" i="5" s="1"/>
  <c r="J11" i="5" s="1"/>
  <c r="B27" i="5"/>
  <c r="C27" i="5" s="1"/>
  <c r="B23" i="5"/>
  <c r="D23" i="5" s="1"/>
  <c r="I23" i="5" s="1"/>
  <c r="B24" i="5"/>
  <c r="C24" i="5" s="1"/>
  <c r="B17" i="5"/>
  <c r="C17" i="5" s="1"/>
  <c r="B12" i="5"/>
  <c r="C12" i="5" s="1"/>
  <c r="B37" i="5"/>
  <c r="D37" i="5" s="1"/>
  <c r="I37" i="5" s="1"/>
  <c r="F7" i="6"/>
  <c r="C14" i="6"/>
  <c r="E34" i="6"/>
  <c r="E22" i="6"/>
  <c r="E10" i="6"/>
  <c r="F30" i="6"/>
  <c r="F18" i="6"/>
  <c r="F6" i="6"/>
  <c r="E21" i="6"/>
  <c r="F17" i="6"/>
  <c r="C30" i="6"/>
  <c r="C18" i="6"/>
  <c r="C6" i="6"/>
  <c r="E26" i="6"/>
  <c r="E14" i="6"/>
  <c r="F34" i="6"/>
  <c r="F22" i="6"/>
  <c r="C29" i="6"/>
  <c r="C17" i="6"/>
  <c r="E5" i="6"/>
  <c r="E25" i="6"/>
  <c r="E13" i="6"/>
  <c r="F33" i="6"/>
  <c r="F21" i="6"/>
  <c r="C28" i="6"/>
  <c r="C16" i="6"/>
  <c r="E36" i="6"/>
  <c r="E24" i="6"/>
  <c r="E12" i="6"/>
  <c r="F32" i="6"/>
  <c r="C27" i="6"/>
  <c r="E35" i="6"/>
  <c r="E11" i="6"/>
  <c r="F19" i="6"/>
  <c r="C26" i="6"/>
  <c r="C5" i="6"/>
  <c r="C25" i="6"/>
  <c r="C13" i="6"/>
  <c r="E33" i="6"/>
  <c r="E9" i="6"/>
  <c r="F29" i="6"/>
  <c r="C36" i="6"/>
  <c r="C24" i="6"/>
  <c r="C12" i="6"/>
  <c r="E32" i="6"/>
  <c r="E20" i="6"/>
  <c r="E8" i="6"/>
  <c r="F28" i="6"/>
  <c r="F16" i="6"/>
  <c r="F15" i="6"/>
  <c r="F20" i="6"/>
  <c r="C15" i="6"/>
  <c r="E23" i="6"/>
  <c r="F31" i="6"/>
  <c r="C35" i="6"/>
  <c r="C23" i="6"/>
  <c r="C11" i="6"/>
  <c r="E31" i="6"/>
  <c r="E19" i="6"/>
  <c r="E7" i="6"/>
  <c r="F27" i="6"/>
  <c r="C34" i="6"/>
  <c r="C22" i="6"/>
  <c r="C10" i="6"/>
  <c r="E30" i="6"/>
  <c r="E18" i="6"/>
  <c r="E6" i="6"/>
  <c r="F26" i="6"/>
  <c r="F14" i="6"/>
  <c r="F13" i="6"/>
  <c r="E28" i="6"/>
  <c r="F36" i="6"/>
  <c r="F24" i="6"/>
  <c r="F12" i="6"/>
  <c r="C33" i="6"/>
  <c r="C21" i="6"/>
  <c r="C9" i="6"/>
  <c r="E29" i="6"/>
  <c r="E17" i="6"/>
  <c r="F25" i="6"/>
  <c r="C32" i="6"/>
  <c r="C20" i="6"/>
  <c r="C8" i="6"/>
  <c r="E16" i="6"/>
  <c r="C31" i="6"/>
  <c r="C19" i="6"/>
  <c r="C7" i="6"/>
  <c r="E27" i="6"/>
  <c r="E15" i="6"/>
  <c r="F35" i="6"/>
  <c r="F23" i="6"/>
  <c r="F11" i="6"/>
  <c r="F10" i="6"/>
  <c r="F9" i="6"/>
  <c r="F8" i="6"/>
  <c r="C20" i="5"/>
  <c r="D18" i="5"/>
  <c r="I18" i="5" s="1"/>
  <c r="B6" i="5"/>
  <c r="F33" i="5" l="1"/>
  <c r="H33" i="5"/>
  <c r="G33" i="5"/>
  <c r="J33" i="5"/>
  <c r="J34" i="5"/>
  <c r="F34" i="5"/>
  <c r="H34" i="5"/>
  <c r="G34" i="5"/>
  <c r="F32" i="5"/>
  <c r="J32" i="5"/>
  <c r="H32" i="5"/>
  <c r="G32" i="5"/>
  <c r="H30" i="5"/>
  <c r="F30" i="5"/>
  <c r="J30" i="5"/>
  <c r="H22" i="5"/>
  <c r="G22" i="5"/>
  <c r="F22" i="5"/>
  <c r="J22" i="5"/>
  <c r="H21" i="5"/>
  <c r="G21" i="5"/>
  <c r="F21" i="5"/>
  <c r="J21" i="5"/>
  <c r="F29" i="5"/>
  <c r="J29" i="5"/>
  <c r="H29" i="5"/>
  <c r="G29" i="5"/>
  <c r="F28" i="5"/>
  <c r="J28" i="5"/>
  <c r="H28" i="5"/>
  <c r="G28" i="5"/>
  <c r="G19" i="5"/>
  <c r="F19" i="5"/>
  <c r="J19" i="5"/>
  <c r="H19" i="5"/>
  <c r="H18" i="5"/>
  <c r="G18" i="5"/>
  <c r="F18" i="5"/>
  <c r="J18" i="5"/>
  <c r="J20" i="5"/>
  <c r="G20" i="5"/>
  <c r="F20" i="5"/>
  <c r="H20" i="5"/>
  <c r="F24" i="5"/>
  <c r="G24" i="5"/>
  <c r="H24" i="5"/>
  <c r="J24" i="5"/>
  <c r="G26" i="5"/>
  <c r="J26" i="5"/>
  <c r="H26" i="5"/>
  <c r="F26" i="5"/>
  <c r="J31" i="5"/>
  <c r="F31" i="5"/>
  <c r="H31" i="5"/>
  <c r="G31" i="5"/>
  <c r="G16" i="5"/>
  <c r="F16" i="5"/>
  <c r="J16" i="5"/>
  <c r="H16" i="5"/>
  <c r="J17" i="5"/>
  <c r="F17" i="5"/>
  <c r="H17" i="5"/>
  <c r="G17" i="5"/>
  <c r="H35" i="5"/>
  <c r="G35" i="5"/>
  <c r="J35" i="5"/>
  <c r="F35" i="5"/>
  <c r="J27" i="5"/>
  <c r="H27" i="5"/>
  <c r="G27" i="5"/>
  <c r="F27" i="5"/>
  <c r="J25" i="5"/>
  <c r="H25" i="5"/>
  <c r="F25" i="5"/>
  <c r="H13" i="5"/>
  <c r="G13" i="5"/>
  <c r="F13" i="5"/>
  <c r="J13" i="5"/>
  <c r="J12" i="5"/>
  <c r="H12" i="5"/>
  <c r="F12" i="5"/>
  <c r="C38" i="5"/>
  <c r="J15" i="5"/>
  <c r="H15" i="5"/>
  <c r="G15" i="5"/>
  <c r="F15" i="5"/>
  <c r="J14" i="5"/>
  <c r="H14" i="5"/>
  <c r="G14" i="5"/>
  <c r="F14" i="5"/>
  <c r="C36" i="5"/>
  <c r="C37" i="5"/>
  <c r="D28" i="5"/>
  <c r="I28" i="5" s="1"/>
  <c r="D19" i="5"/>
  <c r="I19" i="5" s="1"/>
  <c r="D17" i="5"/>
  <c r="I17" i="5" s="1"/>
  <c r="G16" i="6" s="1"/>
  <c r="D31" i="5"/>
  <c r="I31" i="5" s="1"/>
  <c r="G30" i="6" s="1"/>
  <c r="D11" i="5"/>
  <c r="I11" i="5" s="1"/>
  <c r="D16" i="5"/>
  <c r="I16" i="5" s="1"/>
  <c r="D30" i="5"/>
  <c r="D12" i="5"/>
  <c r="D21" i="5"/>
  <c r="I21" i="5" s="1"/>
  <c r="D24" i="5"/>
  <c r="I24" i="5" s="1"/>
  <c r="D27" i="5"/>
  <c r="I27" i="5" s="1"/>
  <c r="C23" i="5"/>
  <c r="D8" i="5"/>
  <c r="I8" i="5" s="1"/>
  <c r="G7" i="6" s="1"/>
  <c r="D10" i="5"/>
  <c r="I10" i="5" s="1"/>
  <c r="G9" i="6" s="1"/>
  <c r="D15" i="5"/>
  <c r="D35" i="5"/>
  <c r="D29" i="5"/>
  <c r="I29" i="5" s="1"/>
  <c r="D13" i="5"/>
  <c r="C9" i="5"/>
  <c r="D8" i="6" s="1"/>
  <c r="D26" i="5"/>
  <c r="I26" i="5" s="1"/>
  <c r="D33" i="5"/>
  <c r="I33" i="5" s="1"/>
  <c r="D22" i="5"/>
  <c r="D14" i="5"/>
  <c r="D32" i="5"/>
  <c r="D34" i="5"/>
  <c r="D25" i="5"/>
  <c r="C6" i="5"/>
  <c r="G6" i="5" s="1"/>
  <c r="D7" i="5"/>
  <c r="I7" i="5" s="1"/>
  <c r="D6" i="5"/>
  <c r="I6" i="5" s="1"/>
  <c r="G5" i="6" s="1"/>
  <c r="C7" i="5"/>
  <c r="D13" i="6"/>
  <c r="G17" i="6"/>
  <c r="G22" i="6"/>
  <c r="D12" i="6"/>
  <c r="I9" i="5"/>
  <c r="G8" i="6" s="1"/>
  <c r="D10" i="6"/>
  <c r="H36" i="5" l="1"/>
  <c r="F36" i="5"/>
  <c r="J36" i="5"/>
  <c r="G36" i="5"/>
  <c r="H37" i="5"/>
  <c r="G37" i="5"/>
  <c r="F37" i="5"/>
  <c r="J37" i="5"/>
  <c r="D37" i="6"/>
  <c r="G38" i="5"/>
  <c r="F38" i="5"/>
  <c r="J38" i="5"/>
  <c r="H38" i="5"/>
  <c r="J23" i="5"/>
  <c r="F23" i="5"/>
  <c r="H23" i="5"/>
  <c r="G23" i="5"/>
  <c r="G25" i="5"/>
  <c r="I25" i="5"/>
  <c r="G24" i="6" s="1"/>
  <c r="I34" i="5"/>
  <c r="G33" i="6" s="1"/>
  <c r="I32" i="5"/>
  <c r="G31" i="6" s="1"/>
  <c r="I22" i="5"/>
  <c r="G21" i="6" s="1"/>
  <c r="I35" i="5"/>
  <c r="G34" i="6" s="1"/>
  <c r="I30" i="5"/>
  <c r="G29" i="6" s="1"/>
  <c r="G30" i="5"/>
  <c r="I13" i="5"/>
  <c r="G12" i="6" s="1"/>
  <c r="G36" i="6"/>
  <c r="G37" i="6"/>
  <c r="I15" i="5"/>
  <c r="G14" i="6" s="1"/>
  <c r="I14" i="5"/>
  <c r="G13" i="6" s="1"/>
  <c r="G23" i="6"/>
  <c r="G32" i="6"/>
  <c r="G20" i="6"/>
  <c r="G19" i="6"/>
  <c r="G35" i="6"/>
  <c r="I12" i="5"/>
  <c r="G12" i="5"/>
  <c r="J9" i="5"/>
  <c r="G9" i="5"/>
  <c r="H9" i="5"/>
  <c r="F9" i="5"/>
  <c r="F6" i="5"/>
  <c r="D5" i="6"/>
  <c r="J6" i="5"/>
  <c r="I5" i="6" s="1"/>
  <c r="H6" i="5"/>
  <c r="G7" i="5"/>
  <c r="J7" i="5"/>
  <c r="H7" i="5"/>
  <c r="F7" i="5"/>
  <c r="D6" i="6"/>
  <c r="G18" i="6"/>
  <c r="G28" i="6"/>
  <c r="G15" i="6"/>
  <c r="G6" i="6"/>
  <c r="D22" i="6"/>
  <c r="D34" i="6"/>
  <c r="D15" i="6"/>
  <c r="I23" i="6"/>
  <c r="D23" i="6"/>
  <c r="D26" i="6"/>
  <c r="D35" i="6"/>
  <c r="I24" i="6"/>
  <c r="D24" i="6"/>
  <c r="D28" i="6"/>
  <c r="D25" i="6"/>
  <c r="D11" i="6"/>
  <c r="I30" i="6"/>
  <c r="D30" i="6"/>
  <c r="D36" i="6"/>
  <c r="J8" i="5"/>
  <c r="D7" i="6"/>
  <c r="D17" i="6"/>
  <c r="I29" i="6"/>
  <c r="D29" i="6"/>
  <c r="I31" i="6"/>
  <c r="D31" i="6"/>
  <c r="J10" i="5"/>
  <c r="D9" i="6"/>
  <c r="I16" i="6"/>
  <c r="D16" i="6"/>
  <c r="I32" i="6"/>
  <c r="D32" i="6"/>
  <c r="I14" i="6"/>
  <c r="D14" i="6"/>
  <c r="D33" i="6"/>
  <c r="I19" i="6"/>
  <c r="D19" i="6"/>
  <c r="I27" i="6"/>
  <c r="D27" i="6"/>
  <c r="D21" i="6"/>
  <c r="D20" i="6"/>
  <c r="I18" i="6"/>
  <c r="D18" i="6"/>
  <c r="H11" i="5"/>
  <c r="I10" i="6"/>
  <c r="K10" i="6" s="1"/>
  <c r="I12" i="6"/>
  <c r="K12" i="6" s="1"/>
  <c r="I13" i="6"/>
  <c r="K13" i="6" s="1"/>
  <c r="G26" i="6"/>
  <c r="G8" i="5"/>
  <c r="H8" i="5"/>
  <c r="F8" i="5"/>
  <c r="F11" i="5"/>
  <c r="G11" i="5"/>
  <c r="F10" i="5"/>
  <c r="G10" i="5"/>
  <c r="H10" i="5"/>
  <c r="I22" i="6" l="1"/>
  <c r="K22" i="6" s="1"/>
  <c r="I21" i="6"/>
  <c r="K21" i="6" s="1"/>
  <c r="I36" i="6"/>
  <c r="K36" i="6" s="1"/>
  <c r="I37" i="6"/>
  <c r="K37" i="6" s="1"/>
  <c r="G27" i="6"/>
  <c r="I25" i="6"/>
  <c r="K25" i="6" s="1"/>
  <c r="I33" i="6"/>
  <c r="K33" i="6" s="1"/>
  <c r="I28" i="6"/>
  <c r="K28" i="6" s="1"/>
  <c r="K5" i="6"/>
  <c r="K29" i="6"/>
  <c r="K18" i="6"/>
  <c r="K14" i="6"/>
  <c r="K19" i="6"/>
  <c r="K31" i="6"/>
  <c r="K32" i="6"/>
  <c r="K24" i="6"/>
  <c r="K16" i="6"/>
  <c r="K27" i="6"/>
  <c r="K30" i="6"/>
  <c r="K23" i="6"/>
  <c r="I17" i="6"/>
  <c r="K17" i="6" s="1"/>
  <c r="I34" i="6"/>
  <c r="K34" i="6" s="1"/>
  <c r="I20" i="6"/>
  <c r="K20" i="6" s="1"/>
  <c r="I7" i="6"/>
  <c r="K7" i="6" s="1"/>
  <c r="I6" i="6"/>
  <c r="K6" i="6" s="1"/>
  <c r="I35" i="6"/>
  <c r="K35" i="6" s="1"/>
  <c r="I9" i="6"/>
  <c r="K9" i="6" s="1"/>
  <c r="I26" i="6"/>
  <c r="K26" i="6" s="1"/>
  <c r="I11" i="6"/>
  <c r="K11" i="6" s="1"/>
  <c r="G25" i="6"/>
  <c r="G11" i="6"/>
  <c r="G10" i="6"/>
  <c r="I15" i="6"/>
  <c r="K15" i="6" s="1"/>
  <c r="I8" i="6"/>
  <c r="K8"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<sst xmlns="http://schemas.openxmlformats.org/spreadsheetml/2006/main" count="896" uniqueCount="470">
  <si>
    <t>Introduction</t>
  </si>
  <si>
    <t>Self Assessment Questionnaire</t>
  </si>
  <si>
    <t>Scope and Goals</t>
  </si>
  <si>
    <t>In Scope?</t>
  </si>
  <si>
    <t>Target Capability level?</t>
  </si>
  <si>
    <t>Yes</t>
  </si>
  <si>
    <t>Capability levels are as follows:</t>
  </si>
  <si>
    <t>Governance and Compliance</t>
  </si>
  <si>
    <t>Energy Efficiency and Decarbonisation</t>
  </si>
  <si>
    <t>E1: Adoption of renewable energy sources</t>
  </si>
  <si>
    <t>E3: Waste heat recovery or reuse strategies</t>
  </si>
  <si>
    <t>Scope &amp; Goals</t>
  </si>
  <si>
    <t>Topic area</t>
  </si>
  <si>
    <t>Type of requirement</t>
  </si>
  <si>
    <t>Requirement code</t>
  </si>
  <si>
    <t>Capability Level</t>
  </si>
  <si>
    <t>Descriptions</t>
  </si>
  <si>
    <t>Self assessment score</t>
  </si>
  <si>
    <t>Rationale for score</t>
  </si>
  <si>
    <t>Evidence (e.g. available documents / records / URLs)</t>
  </si>
  <si>
    <t>G1.1</t>
  </si>
  <si>
    <t>G2.1</t>
  </si>
  <si>
    <r>
      <rPr>
        <b/>
        <i/>
        <u/>
        <sz val="12"/>
        <color theme="9" tint="-0.249977111117893"/>
        <rFont val="Calibri"/>
        <family val="2"/>
      </rPr>
      <t>Task</t>
    </r>
    <r>
      <rPr>
        <b/>
        <i/>
        <sz val="12"/>
        <color theme="9" tint="-0.249977111117893"/>
        <rFont val="Calibri"/>
        <family val="2"/>
      </rPr>
      <t xml:space="preserve"> /
activity</t>
    </r>
  </si>
  <si>
    <r>
      <t>Output</t>
    </r>
    <r>
      <rPr>
        <b/>
        <i/>
        <sz val="12"/>
        <color theme="9" tint="-0.249977111117893"/>
        <rFont val="Calibri"/>
        <family val="2"/>
      </rPr>
      <t xml:space="preserve"> /</t>
    </r>
    <r>
      <rPr>
        <b/>
        <i/>
        <u/>
        <sz val="12"/>
        <color theme="9" tint="-0.249977111117893"/>
        <rFont val="Calibri"/>
        <family val="2"/>
      </rPr>
      <t xml:space="preserve"> </t>
    </r>
    <r>
      <rPr>
        <b/>
        <i/>
        <sz val="12"/>
        <color theme="9" tint="-0.249977111117893"/>
        <rFont val="Calibri"/>
        <family val="2"/>
      </rPr>
      <t>Achievement</t>
    </r>
  </si>
  <si>
    <t>G3.1</t>
  </si>
  <si>
    <t>The RI is not actively considering EU environmental regulations or is unaware of specific obligations.</t>
  </si>
  <si>
    <t>The RI is aware of applicable regulations and has initiated some exploratory or preparatory activities, but there is no structured compliance plan.</t>
  </si>
  <si>
    <t>The RI has mapped relevant regulations, assigned responsibilities, and embedded compliance requirements into formal policies and operational procedures.</t>
  </si>
  <si>
    <t>Scope and goals</t>
  </si>
  <si>
    <t>Capability assessment</t>
  </si>
  <si>
    <t>Targets</t>
  </si>
  <si>
    <t>In Scope</t>
  </si>
  <si>
    <t>Capability goal</t>
  </si>
  <si>
    <t>Level 1</t>
  </si>
  <si>
    <t>Level 2</t>
  </si>
  <si>
    <t>Level 3</t>
  </si>
  <si>
    <t>Topic Area</t>
  </si>
  <si>
    <t>E1.1</t>
  </si>
  <si>
    <r>
      <rPr>
        <b/>
        <i/>
        <u/>
        <sz val="12"/>
        <color theme="8" tint="-0.249977111117893"/>
        <rFont val="Calibri"/>
        <family val="2"/>
      </rPr>
      <t>Task</t>
    </r>
    <r>
      <rPr>
        <b/>
        <i/>
        <sz val="12"/>
        <color theme="8" tint="-0.249977111117893"/>
        <rFont val="Calibri"/>
        <family val="2"/>
      </rPr>
      <t xml:space="preserve"> /
activity</t>
    </r>
  </si>
  <si>
    <t>E2.1</t>
  </si>
  <si>
    <t>Capability Results</t>
  </si>
  <si>
    <t>G1.2</t>
  </si>
  <si>
    <t>Lifecycle Phase</t>
  </si>
  <si>
    <t>Environmental Dimension</t>
  </si>
  <si>
    <t xml:space="preserve">Select.... </t>
  </si>
  <si>
    <t>Evidence Type Expected</t>
  </si>
  <si>
    <t>Associated Metric</t>
  </si>
  <si>
    <t>Impact Magnitude</t>
  </si>
  <si>
    <t>Impact Likelihood</t>
  </si>
  <si>
    <t>Improvement Priority</t>
  </si>
  <si>
    <t>Reference (Standard/Policy)</t>
  </si>
  <si>
    <t>G2: Existence of a formal environmental sustainability strategy</t>
  </si>
  <si>
    <t>G3: Defined roles and responsibilities for sustainability</t>
  </si>
  <si>
    <t>G4: Inclusion of sustainability in internal policies or quality systems</t>
  </si>
  <si>
    <t>G5: Inclusion of sustainability in procurement or supplier management</t>
  </si>
  <si>
    <t>E2: AI-driven workload or energy optimisation</t>
  </si>
  <si>
    <t>E5: Carbon Use Effectiveness (CUE) tracking and reduction</t>
  </si>
  <si>
    <t>E6: Flexible energy usage or smart grid responsiveness</t>
  </si>
  <si>
    <t>Environmental Monitoring and Impact</t>
  </si>
  <si>
    <t>M1: Measurement of environmental KPIs (GHG, energy, water, waste)</t>
  </si>
  <si>
    <t>M2: Use of environmental metrics in planning and reporting</t>
  </si>
  <si>
    <t>M4: Use of WUE (Water Usage Effectiveness) or similar water metrics</t>
  </si>
  <si>
    <t>M5: Implementation of monitoring tools/platforms</t>
  </si>
  <si>
    <t>Pollution, Waste, and Circularity</t>
  </si>
  <si>
    <t>Water and Ecosystems</t>
  </si>
  <si>
    <t>Stakeholder Engagement and Awareness</t>
  </si>
  <si>
    <t>S1: Sustainability awareness/training for staff</t>
  </si>
  <si>
    <t>S2: Involvement of stakeholders in environmental planning</t>
  </si>
  <si>
    <t>S3: Transparent communication of environmental performance</t>
  </si>
  <si>
    <t>Lifecycle Integration</t>
  </si>
  <si>
    <t>L1: Sustainability embedded in the design phase</t>
  </si>
  <si>
    <t>L2: Consideration of sustainability during implementation</t>
  </si>
  <si>
    <t>L3: Operational sustainability practices</t>
  </si>
  <si>
    <t>L4: Decommissioning/termination phase planning</t>
  </si>
  <si>
    <t>G4.1</t>
  </si>
  <si>
    <t>G5.1</t>
  </si>
  <si>
    <t>Has the RI conducted a review or gap analysis to identify which regulations apply and how they are addressed?</t>
  </si>
  <si>
    <t>Is there a documented environmental sustainability strategy in place, endorsed by leadership and periodically updated?</t>
  </si>
  <si>
    <t>Are roles and responsibilities for environmental sustainability clearly assigned across relevant functions within the RI?</t>
  </si>
  <si>
    <t>To what extent is environmental sustainability integrated into the RI’s internal policies, management systems, or quality frameworks?</t>
  </si>
  <si>
    <t>Does the RI include environmental sustainability criteria in procurement processes and supplier evaluations?</t>
  </si>
  <si>
    <t>E3.1</t>
  </si>
  <si>
    <t>E4.1</t>
  </si>
  <si>
    <t>E5.1</t>
  </si>
  <si>
    <t>E6.1</t>
  </si>
  <si>
    <t>What proportion of the RI’s energy consumption is sourced from renewable energy, and how is this verified?</t>
  </si>
  <si>
    <t>Output / Achievement</t>
  </si>
  <si>
    <t>Are AI or automation systems used to optimise energy consumption across compute, cooling, or other infrastructure components?</t>
  </si>
  <si>
    <t>Does the RI implement strategies to recover or reuse waste heat generated by infrastructure?</t>
  </si>
  <si>
    <t>Is the RI’s PUE monitored regularly, and are efforts in place to optimise it over time?</t>
  </si>
  <si>
    <t>Is CUE calculated and used as a metric for assessing carbon performance of the RI’s operations?</t>
  </si>
  <si>
    <t>Does the RI participate in energy flexibility initiatives, such as demand response or smart grid integration?</t>
  </si>
  <si>
    <t>Task /
activity</t>
  </si>
  <si>
    <r>
      <rPr>
        <b/>
        <i/>
        <u/>
        <sz val="12"/>
        <color theme="7" tint="-0.249977111117893"/>
        <rFont val="Calibri"/>
        <family val="2"/>
      </rPr>
      <t>Task</t>
    </r>
    <r>
      <rPr>
        <b/>
        <i/>
        <sz val="12"/>
        <color theme="7" tint="-0.249977111117893"/>
        <rFont val="Calibri"/>
        <family val="2"/>
      </rPr>
      <t xml:space="preserve"> /
activity</t>
    </r>
  </si>
  <si>
    <t>Which environmental KPIs (e.g. GHG emissions, energy, water, waste) are currently measured and how frequently are they reported?</t>
  </si>
  <si>
    <t>To what extent are environmental metrics integrated into the RI’s strategic planning or operational decision-making?</t>
  </si>
  <si>
    <t>Are dedicated tools or platforms in place for tracking, visualising, or reporting environmental performance?</t>
  </si>
  <si>
    <t>M1.1</t>
  </si>
  <si>
    <t>M2.1</t>
  </si>
  <si>
    <t>M3.1</t>
  </si>
  <si>
    <t>M4.1</t>
  </si>
  <si>
    <t>M5.1</t>
  </si>
  <si>
    <t>W1.1</t>
  </si>
  <si>
    <t>W2.1</t>
  </si>
  <si>
    <t>W3.1</t>
  </si>
  <si>
    <t>W4.1</t>
  </si>
  <si>
    <t>Is WUE or any comparable metric tracked and used to assess the RI’s water efficiency performance?</t>
  </si>
  <si>
    <t>Are practices in place to reduce operational waste generation, including e-waste from IT systems and equipment?</t>
  </si>
  <si>
    <t>Does the RI apply defined procedures for the reuse, recycling, or proper disposal of decommissioned equipment?</t>
  </si>
  <si>
    <t>Are circular IT principles such as reuse, modularity, or refurbishment applied in procurement or infrastructure management?</t>
  </si>
  <si>
    <t>Are measures in place to monitor and manage pollution risks related to air, water, or soil emissions from RI operations?</t>
  </si>
  <si>
    <t>Are environmental criteria applied when selecting materials or products, with preference for low-impact or non-toxic options?</t>
  </si>
  <si>
    <t>To what extent does the RI monitor its water consumption and implement strategies to reduce it?</t>
  </si>
  <si>
    <t>Does the RI assess and manage its potential impacts on local ecosystems or biodiversity, particularly for physical infrastructure?</t>
  </si>
  <si>
    <t>Are there systems or practices in place for rainwater harvesting, water reuse, or managing stormwater runoff?</t>
  </si>
  <si>
    <r>
      <rPr>
        <b/>
        <i/>
        <u/>
        <sz val="12"/>
        <color theme="5" tint="-0.249977111117893"/>
        <rFont val="Calibri"/>
        <family val="2"/>
      </rPr>
      <t>Task</t>
    </r>
    <r>
      <rPr>
        <b/>
        <i/>
        <sz val="12"/>
        <color theme="5" tint="-0.249977111117893"/>
        <rFont val="Calibri"/>
        <family val="2"/>
      </rPr>
      <t xml:space="preserve"> /
activity</t>
    </r>
  </si>
  <si>
    <t>S1.1</t>
  </si>
  <si>
    <t>S2.1</t>
  </si>
  <si>
    <t>S3.1</t>
  </si>
  <si>
    <t>To what extent does the RI provide staff training or awareness programmes on environmental sustainability topics relevant to their roles?</t>
  </si>
  <si>
    <t>Are relevant stakeholders (e.g. users, suppliers, partners) engaged in environmental planning or sustainability goal-setting processes?</t>
  </si>
  <si>
    <t>Does the RI regularly communicate its environmental performance, actions, or goals to internal and external stakeholders?</t>
  </si>
  <si>
    <r>
      <rPr>
        <b/>
        <i/>
        <u/>
        <sz val="12"/>
        <color theme="4" tint="-0.249977111117893"/>
        <rFont val="Calibri"/>
        <family val="2"/>
      </rPr>
      <t>Task</t>
    </r>
    <r>
      <rPr>
        <b/>
        <i/>
        <sz val="12"/>
        <color theme="4" tint="-0.249977111117893"/>
        <rFont val="Calibri"/>
        <family val="2"/>
      </rPr>
      <t xml:space="preserve"> /
activity</t>
    </r>
  </si>
  <si>
    <t>L1.1</t>
  </si>
  <si>
    <t>L2.1</t>
  </si>
  <si>
    <t>L3.1</t>
  </si>
  <si>
    <t>L4.1</t>
  </si>
  <si>
    <t>To what extent are sustainability considerations integrated into the design and planning of new infrastructure or services?</t>
  </si>
  <si>
    <t>Are sustainability criteria applied during the implementation or deployment of infrastructure components and systems?</t>
  </si>
  <si>
    <t>What sustainability practices are in place for the operation and maintenance of the RI’s infrastructure and services?</t>
  </si>
  <si>
    <t>Does the RI include environmental considerations in its decommissioning or termination plans for infrastructure or services?</t>
  </si>
  <si>
    <r>
      <rPr>
        <b/>
        <i/>
        <u/>
        <sz val="12"/>
        <color theme="3" tint="0.249977111117893"/>
        <rFont val="Calibri"/>
        <family val="2"/>
      </rPr>
      <t>Task</t>
    </r>
    <r>
      <rPr>
        <b/>
        <i/>
        <sz val="12"/>
        <color theme="3" tint="0.249977111117893"/>
        <rFont val="Calibri"/>
        <family val="2"/>
      </rPr>
      <t xml:space="preserve"> /
activity</t>
    </r>
  </si>
  <si>
    <t>Cross-cutting</t>
  </si>
  <si>
    <t>Non-environmental</t>
  </si>
  <si>
    <t>N/A</t>
  </si>
  <si>
    <t>High</t>
  </si>
  <si>
    <t>Medium</t>
  </si>
  <si>
    <t>Low</t>
  </si>
  <si>
    <t>CSRD, ESRS E1-E5, ESPR, WEEE</t>
  </si>
  <si>
    <t>No structured review or gap analysis has been conducted; awareness of obligations is minimal or outdated.</t>
  </si>
  <si>
    <t>A basic review has been done; some gaps identified, but follow-up actions are limited or informal.</t>
  </si>
  <si>
    <t>A comprehensive, up-to-date gap analysis is in place; regularly reviewed and informs compliance actions.</t>
  </si>
  <si>
    <t>ESRS E1, ISO 14001</t>
  </si>
  <si>
    <t>No environmental sustainability strategy exists, or it is informal and not institutionally endorsed.</t>
  </si>
  <si>
    <t>A strategy exists and covers key areas, but it is not comprehensive or regularly reviewed.</t>
  </si>
  <si>
    <t>A formal strategy is in place, endorsed by leadership, reviewed regularly, and linked to operational planning.</t>
  </si>
  <si>
    <t>ISO 14001, ESRS</t>
  </si>
  <si>
    <t>No roles or responsibilities are defined for sustainability-related actions.</t>
  </si>
  <si>
    <t>Some roles are assigned, but responsibilities are not clearly documented or consistently applied.</t>
  </si>
  <si>
    <t>Roles and responsibilities are formally assigned, documented, and integrated into operational procedures.</t>
  </si>
  <si>
    <t>Environmental considerations are not referenced in internal policies or management systems.</t>
  </si>
  <si>
    <t>Sustainability is mentioned in some policies or quality processes, but integration is limited or inconsistent.</t>
  </si>
  <si>
    <t>Environmental sustainability is systematically integrated across internal policies, quality management, and procedures.</t>
  </si>
  <si>
    <t>% of suppliers evaluated with environmental criteria (optional)</t>
  </si>
  <si>
    <t>Environmental criteria are not considered in procurement or supplier evaluation.</t>
  </si>
  <si>
    <t>Some environmental criteria are used, but not systematically or across all procurement categories.</t>
  </si>
  <si>
    <t>Environmental sustainability is consistently integrated into procurement processes and supplier assessments.</t>
  </si>
  <si>
    <t>Compliance documentation / Legal review</t>
  </si>
  <si>
    <t>Gap analysis / Internal review documentation</t>
  </si>
  <si>
    <t>Strategy document / Policy endorsement</t>
  </si>
  <si>
    <t>Organisational documentation</t>
  </si>
  <si>
    <t>Policy / Management system records</t>
  </si>
  <si>
    <t>Procurement documents / Supplier criteria</t>
  </si>
  <si>
    <t>Operation</t>
  </si>
  <si>
    <t>Energy</t>
  </si>
  <si>
    <t>% of energy from renewable sources</t>
  </si>
  <si>
    <t>ISO 50001, ESRS E1, EU Renewable Energy Directive</t>
  </si>
  <si>
    <t>Energy bills, supplier contracts, renewable energy certificates</t>
  </si>
  <si>
    <t>The RI does not use or track renewable energy usage.</t>
  </si>
  <si>
    <t>Some energy comes from renewable sources, but tracking is limited or informal.</t>
  </si>
  <si>
    <t>A high proportion of energy is sourced from renewables, verified through formal documentation or contracts.</t>
  </si>
  <si>
    <t>Estimated energy savings (%) from AI/automation</t>
  </si>
  <si>
    <t>ISO 50001, EN 50600-4-8 (Energy Reuse)</t>
  </si>
  <si>
    <t>System documentation, control software descriptions, performance reports</t>
  </si>
  <si>
    <t>No AI or automation tools are in place for energy optimisation.</t>
  </si>
  <si>
    <t>Some systems exist, but usage is limited to specific components or lacks ongoing refinement.</t>
  </si>
  <si>
    <t>Advanced AI/automation is used systematically across operations to monitor and optimise energy use.</t>
  </si>
  <si>
    <t>Climate Change</t>
  </si>
  <si>
    <t>Energy reuse factor (ERF), % of recovered heat reused</t>
  </si>
  <si>
    <t>EN 50600-4-6, ISO 50001</t>
  </si>
  <si>
    <t>No waste heat recovery strategies are in place or considered.</t>
  </si>
  <si>
    <t>Opportunities have been identified, and partial recovery is implemented in limited areas.</t>
  </si>
  <si>
    <t>Waste heat is consistently captured and reused through formal systems and integrated planning.</t>
  </si>
  <si>
    <t>Technical system designs, energy recovery logs, reuse feasibility studies</t>
  </si>
  <si>
    <t>Power Usage Effectiveness (PUE)</t>
  </si>
  <si>
    <t>ISO/IEC 30134-2, EN 50600-4-2, EU CoC on Data Centre Energy Efficiency</t>
  </si>
  <si>
    <t>PUE is not monitored or known.</t>
  </si>
  <si>
    <t>PUE is monitored but not regularly optimised or benchmarked.</t>
  </si>
  <si>
    <t>PUE is tracked, benchmarked, and used to inform continuous energy efficiency improvements.</t>
  </si>
  <si>
    <t>Energy monitoring reports, PUE trend data, internal benchmarking documentation</t>
  </si>
  <si>
    <t>Carbon Usage Effectiveness (CUE)</t>
  </si>
  <si>
    <t>ISO/IEC 30134-3, GHG Protocol Scope 2 Guidance</t>
  </si>
  <si>
    <t>Carbon accounting reports, CUE calculations, emissions monitoring records</t>
  </si>
  <si>
    <t>CUE is not calculated or considered in RI operations.</t>
  </si>
  <si>
    <t>CUE is estimated or partially tracked, but not actively used in decision-making.</t>
  </si>
  <si>
    <t>CUE is regularly calculated, reported, and informs carbon reduction strategies.</t>
  </si>
  <si>
    <t>Participation in flexibility programs; % load modulated during events</t>
  </si>
  <si>
    <t>EU Electricity Directive, EN 50600-4-7 (Availability and resilience), Smart Grid Task Force reports</t>
  </si>
  <si>
    <t>The RI does not participate in any energy flexibility or smart grid schemes.</t>
  </si>
  <si>
    <t>The RI has the technical capacity and is exploring or piloting flexibility participation.</t>
  </si>
  <si>
    <t>The RI actively participates in energy flexibility schemes and can adjust loads in response to grid signals.</t>
  </si>
  <si>
    <t>Participation agreements, demand response logs, technical infrastructure specifications</t>
  </si>
  <si>
    <t>Number and frequency of reported environmental KPIs</t>
  </si>
  <si>
    <t>ISO 14031, ESRS E1–E5, GHG Protocol, ISO 14064</t>
  </si>
  <si>
    <t>Environmental monitoring reports, KPI dashboards, internal audit summaries</t>
  </si>
  <si>
    <t>Environmental KPIs are not measured or reported.</t>
  </si>
  <si>
    <t>Some KPIs are measured and occasionally reported, but coverage or consistency is limited.</t>
  </si>
  <si>
    <t>A comprehensive set of environmental KPIs is regularly monitored, documented, and reviewed.</t>
  </si>
  <si>
    <t>Number of decisions/plans referencing environmental KPIs (optional, qualitative)</t>
  </si>
  <si>
    <t>ISO 14001, ISO 14031, ESRS E1</t>
  </si>
  <si>
    <t>Strategic plans, risk assessments, board minutes, policy documents referencing environmental data</t>
  </si>
  <si>
    <t>Environmental metrics are not used to inform planning or operational decisions.</t>
  </si>
  <si>
    <t>Some metrics are referenced in planning, but not systematically or with limited influence.</t>
  </si>
  <si>
    <t>Environmental metrics are regularly used to guide strategic and operational decision-making.</t>
  </si>
  <si>
    <t>No lifecycle assessments have been conducted or considered.</t>
  </si>
  <si>
    <t>Some LCA activities have been initiated, covering limited operations or infrastructure.</t>
  </si>
  <si>
    <t>LCA is systematically used to assess and mitigate environmental impact across RI lifecycle phases.</t>
  </si>
  <si>
    <t>Number or coverage of LCA studies conducted</t>
  </si>
  <si>
    <t>ISO 14040, ISO 14044, ESRS E1</t>
  </si>
  <si>
    <t>LCA reports, sustainability assessments, documentation of lifecycle impacts</t>
  </si>
  <si>
    <t>Waste</t>
  </si>
  <si>
    <t>Water Usage Effectiveness (WUE)</t>
  </si>
  <si>
    <t>ISO/IEC 30134-9, ISO 14046 (Water footprint)</t>
  </si>
  <si>
    <t>Water consumption records, WUE logs, utility bills, monitoring dashboards</t>
  </si>
  <si>
    <t>ISO 14031, ISO 50001</t>
  </si>
  <si>
    <t>No dedicated environmental monitoring tools or platforms are used.</t>
  </si>
  <si>
    <t>Basic tools exist but are limited in scope or only partially used.</t>
  </si>
  <si>
    <t>Integrated tools/platforms track and report key indicators across the RI.</t>
  </si>
  <si>
    <t>Tool configuration documents, platform screenshots, internal reports or dashboards</t>
  </si>
  <si>
    <t>Volume of e-waste or operational waste per year</t>
  </si>
  <si>
    <t>WEEE Directive, ISO 14001, EU Circular Economy Action Plan</t>
  </si>
  <si>
    <t>Waste logs, recycling records, internal waste reduction procedures</t>
  </si>
  <si>
    <t>No structured practices for waste reduction exist.</t>
  </si>
  <si>
    <t>Some informal or partial practices exist for waste minimisation.</t>
  </si>
  <si>
    <t>Formal and systematic waste reduction practices are implemented, tracked, and reviewed.</t>
  </si>
  <si>
    <t>Termination</t>
  </si>
  <si>
    <t>% of equipment reused/recycled vs. disposed</t>
  </si>
  <si>
    <t>WEEE Directive, ISO 14001, ISO 14006</t>
  </si>
  <si>
    <t>No defined procedures for managing end-of-life equipment.</t>
  </si>
  <si>
    <t>Some practices exist but are informal or inconsistently applied.</t>
  </si>
  <si>
    <t>Structured procedures ensure responsible reuse, recycling, or disposal of equipment</t>
  </si>
  <si>
    <t>Decommissioning procedures, asset disposal logs, supplier take-back agreements</t>
  </si>
  <si>
    <t>Design</t>
  </si>
  <si>
    <t>% of IT purchases meeting circularity criteria</t>
  </si>
  <si>
    <t>EU Circular Economy Action Plan, ISO 20400 (Sustainable Procurement)</t>
  </si>
  <si>
    <t>Procurement guidelines, tender documents, lifecycle impact assessments</t>
  </si>
  <si>
    <t>Circularity principles are not considered in IT procurement or infrastructure management.</t>
  </si>
  <si>
    <t>Some criteria (e.g., reuse, modularity) are considered, but application is limited.</t>
  </si>
  <si>
    <t>Circular IT principles are systematically embedded into procurement and lifecycle management.</t>
  </si>
  <si>
    <t>Presence and scope of pollution monitoring and control measures</t>
  </si>
  <si>
    <t xml:space="preserve"> ISO 14001, EU Industrial Emissions Directive, ESRS E2</t>
  </si>
  <si>
    <t>No pollution monitoring or control measures are in place.</t>
  </si>
  <si>
    <t>Some measures exist for specific risks or processes.</t>
  </si>
  <si>
    <t>Comprehensive monitoring and mitigation measures are in place and reviewed regularly.</t>
  </si>
  <si>
    <t>Environmental monitoring reports, mitigation plans, pollution control system logs</t>
  </si>
  <si>
    <t>Environmental aspects are not considered in material or product selection.</t>
  </si>
  <si>
    <t>Some environmental criteria are applied inconsistently or only for select categories.</t>
  </si>
  <si>
    <t>Environmental criteria are systematically applied across procurement processes.</t>
  </si>
  <si>
    <t>% of materials/products procured meeting low-impact criteria</t>
  </si>
  <si>
    <t>ESPR (Ecodesign), EU Green Public Procurement Criteria, ISO 14024</t>
  </si>
  <si>
    <t>Procurement policies, supplier declarations, product environmental labels</t>
  </si>
  <si>
    <t>Total water use (m³/year), reduction trend (%)</t>
  </si>
  <si>
    <t>ISO 14046, EU Water Framework Directive</t>
  </si>
  <si>
    <t>Water bills, consumption logs, reduction plans, monitoring dashboards</t>
  </si>
  <si>
    <t>Water metrics like WUE are not tracked or are unknown.</t>
  </si>
  <si>
    <t>WUE or a similar metric is estimated periodically but not used in performance management.</t>
  </si>
  <si>
    <t>WUE is regularly calculated, benchmarked, and used to drive technical improvements.</t>
  </si>
  <si>
    <t>Water consumption is not monitored and no reduction efforts are planned.</t>
  </si>
  <si>
    <t>Water use is tracked and some reduction measures are informally applied.</t>
  </si>
  <si>
    <t>Water use is systematically monitored and targeted reduction plans are implemented and reviewed.</t>
  </si>
  <si>
    <t>EU Biodiversity Strategy, ISO 14001, ESRS E4</t>
  </si>
  <si>
    <t>Ecosystem or biodiversity impacts are not assessed or considered.</t>
  </si>
  <si>
    <t>Some assessments have been conducted, but mitigation actions are limited.</t>
  </si>
  <si>
    <t>Ecosystem impacts are systematically assessed and managed with appropriate mitigation plans.</t>
  </si>
  <si>
    <t>Environmental impact assessments, ecological site studies, mitigation or offsetting plans</t>
  </si>
  <si>
    <t>% of captured rainwater reused</t>
  </si>
  <si>
    <t>EU Water Framework Directive, ISO 14046</t>
  </si>
  <si>
    <t>No rainwater harvesting or runoff management systems are present or considered.</t>
  </si>
  <si>
    <t>Some measures exist but are limited in scope or capacity.</t>
  </si>
  <si>
    <t>Rainwater harvesting or runoff systems are well-integrated and used for water reuse or management.</t>
  </si>
  <si>
    <t>Infrastructure plans, water reuse system specs, site design documentation</t>
  </si>
  <si>
    <t>No sustainability training or awareness activities are in place.</t>
  </si>
  <si>
    <t>Some ad hoc or optional training is available, but not systematic.</t>
  </si>
  <si>
    <t>Structured, role-specific sustainability training is delivered regularly and tracked.</t>
  </si>
  <si>
    <t>Training records, attendance logs, course materials</t>
  </si>
  <si>
    <t>ISO 14001, ESRS 1</t>
  </si>
  <si>
    <t>Stakeholders are not engaged in environmental planning or goal setting.</t>
  </si>
  <si>
    <t>Stakeholder input is sought occasionally but not structured or consistently applied.</t>
  </si>
  <si>
    <t>Stakeholders are regularly and systematically involved in environmental planning processes.</t>
  </si>
  <si>
    <t>Meeting records, consultation summaries, stakeholder input reports</t>
  </si>
  <si>
    <t>% of staff trained annually, number of training sessions</t>
  </si>
  <si>
    <t>Frequency and scope of communications (e.g., reports/year)</t>
  </si>
  <si>
    <t>CSRD, ESRS E1, ISO 14063</t>
  </si>
  <si>
    <t>Environmental performance is not communicated externally or internally.</t>
  </si>
  <si>
    <t>Some communications occur, but are informal or irregular.</t>
  </si>
  <si>
    <t>Environmental performance is communicated regularly, transparently, and in structured formats.</t>
  </si>
  <si>
    <t>Sustainability reports, public disclosures, stakeholder briefings</t>
  </si>
  <si>
    <t>Design documentation, planning procedures, sustainability review checklists</t>
  </si>
  <si>
    <t>Sustainability is not considered in the design phase.</t>
  </si>
  <si>
    <t>Some sustainability aspects are reviewed, but not systematically.</t>
  </si>
  <si>
    <t>Sustainability is fully embedded in design/planning processes, with clear criteria and review steps.</t>
  </si>
  <si>
    <t>Implementation</t>
  </si>
  <si>
    <t>ISO 14001, ISO 14006, EU GPP criteria</t>
  </si>
  <si>
    <t>Implementation plans, procurement records, site inspection logs</t>
  </si>
  <si>
    <t>No sustainability criteria are applied during implementation.</t>
  </si>
  <si>
    <t>Some criteria are applied in specific areas, but inconsistently.</t>
  </si>
  <si>
    <t>Sustainability criteria are systematically applied during all implementation activities.</t>
  </si>
  <si>
    <t>No defined sustainability practices exist during operational phases.</t>
  </si>
  <si>
    <t>Some practices are implemented, but lack consistency or systematic monitoring.</t>
  </si>
  <si>
    <t>Sustainability practices are embedded in operations, regularly reviewed, and improved.</t>
  </si>
  <si>
    <t>ISO 14001, WEEE Directive, ISO 14006</t>
  </si>
  <si>
    <t>Environmental aspects are not addressed during decommissioning.</t>
  </si>
  <si>
    <t>Some end-of-life measures are in place, but not consistently or formally applied.</t>
  </si>
  <si>
    <t>Environmental considerations are embedded in decommissioning plans and routinely followed.</t>
  </si>
  <si>
    <t>Decommissioning plans, asset recovery procedures, reuse/recycling strategies</t>
  </si>
  <si>
    <t>O&amp;M procedures, sustainability logs, monitoring dashboards</t>
  </si>
  <si>
    <t>Assessment</t>
  </si>
  <si>
    <t>Water</t>
  </si>
  <si>
    <t>Recommended Action</t>
  </si>
  <si>
    <t>Question</t>
  </si>
  <si>
    <t>Action Plan</t>
  </si>
  <si>
    <t>Question code</t>
  </si>
  <si>
    <t>Questions</t>
  </si>
  <si>
    <t>Effort Required</t>
  </si>
  <si>
    <t>Implementation Priority</t>
  </si>
  <si>
    <t>Requirement Code</t>
  </si>
  <si>
    <t>Conduct a regulatory gap analysis to identify which EU environmental regulations apply and where the RI is currently non-compliant. Engage legal or compliance expertise to support interpretation if needed.</t>
  </si>
  <si>
    <t>Update internal documentation and procedures to close identified regulatory gaps. Begin implementing key compliance actions with clear timelines and responsibilities.</t>
  </si>
  <si>
    <t>No further action required. Maintain alignment by reviewing regulatory changes annually and updating internal policies accordingly.</t>
  </si>
  <si>
    <t>Initiate a structured regulatory review to identify applicable EU regulations (e.g. CSRD, ESRS, EED, ESPR, WEEE). Engage relevant internal or external expertise and document initial findings.</t>
  </si>
  <si>
    <t>Expand and update the regulatory gap analysis. Clarify which obligations are partially addressed, and prepare an action plan to resolve any gaps identified.</t>
  </si>
  <si>
    <t>No action needed. Maintain and periodically update the gap analysis in line with evolving legislation and internal priorities.</t>
  </si>
  <si>
    <t>Draft a documented environmental sustainability strategy that outlines goals, scope, and key priorities. Secure leadership engagement to initiate endorsement.</t>
  </si>
  <si>
    <t>Formalise leadership endorsement of the strategy and ensure it includes a mechanism for periodic updates. Begin integrating it into RI-level decision-making.</t>
  </si>
  <si>
    <t>No action needed. Maintain periodic reviews and ensure the strategy remains aligned with evolving sustainability goals and regulations.</t>
  </si>
  <si>
    <t>Identify key functions and assign clear responsibilities for environmental sustainability. Ensure responsibility is not siloed but shared across operational and strategic roles.</t>
  </si>
  <si>
    <t>Document the assigned responsibilities formally (e.g. in organisational charts, role descriptions, quality systems) and ensure they are communicated internally.</t>
  </si>
  <si>
    <t>No action needed. Sustain clarity and alignment of responsibilities, and update assignments when organisational roles or sustainability goals evolve.</t>
  </si>
  <si>
    <t>Expand integration of sustainability elements across internal systems. Ensure alignment with recognised frameworks such as ISO 14001 or ISO 9001 (with sustainability add-ons), and involve relevant departments in updates.</t>
  </si>
  <si>
    <t>No action needed. Continue internal reviews to maintain full integration and alignment with emerging sustainability standards.</t>
  </si>
  <si>
    <t>Begin integrating basic environmental sustainability criteria into procurement guidelines and supplier selection processes. Reference relevant standards (e.g. EU Green Public Procurement) where applicable.</t>
  </si>
  <si>
    <t>Expand and formalise sustainability criteria in procurement documents and supplier contracts. Ensure criteria are measurable and consistently applied across purchases.</t>
  </si>
  <si>
    <t>No action needed. Maintain criteria updates and consider supplier engagement strategies to support continuous sustainability improvement.</t>
  </si>
  <si>
    <t>Assess the current energy mix and identify opportunities to procure or transition to renewable energy sources. Start collecting data and documentation to verify sources (e.g. supplier declarations, energy certificates).</t>
  </si>
  <si>
    <t>Increase the share of renewable energy through updated contracts or on-site generation. Implement processes for regular verification and reporting (e.g. through Guarantees of Origin, utility audits).</t>
  </si>
  <si>
    <t>No action needed. Continue monitoring and ensure transparency in reporting renewable energy sourcing and verification.</t>
  </si>
  <si>
    <t>Identify infrastructure areas with high energy use and evaluate the potential of AI or automation tools for energy optimisation. Initiate pilot projects or feasibility assessments.</t>
  </si>
  <si>
    <t>Expand use of AI-driven or automated systems for energy optimisation in key areas (e.g. dynamic workload distribution, smart cooling). Document energy savings and lessons learned.</t>
  </si>
  <si>
    <t>No action needed. Maintain optimisation systems and review performance periodically to identify further improvement opportunities.</t>
  </si>
  <si>
    <t>Assess the feasibility of heat recovery based on infrastructure type and thermal load. Identify potential use cases (e.g. heating buildings, district heating, internal reuse).</t>
  </si>
  <si>
    <t>Implement basic heat recovery systems where feasible. Monitor effectiveness and explore opportunities to expand reuse or integrate with external systems.</t>
  </si>
  <si>
    <t>No action needed. Continue optimising heat recovery systems and track performance against energy-saving targets.</t>
  </si>
  <si>
    <t>Begin monitoring Power Usage Effectiveness (PUE) at a basic level. Install or configure metering infrastructure to enable regular data collection.</t>
  </si>
  <si>
    <t>Establish routine monitoring of PUE and identify areas where efficiency can be improved (e.g. cooling systems, power distribution). Set internal targets for optimisation.</t>
  </si>
  <si>
    <t>No action needed. Maintain performance tracking and review optimisation efforts to stay aligned with industry benchmarks and internal goals.</t>
  </si>
  <si>
    <t>Familiarise the team with Carbon Usage Effectiveness (CUE) and assess whether sufficient data exists to begin basic calculations. Identify carbon-intensive operational areas.</t>
  </si>
  <si>
    <t>Implement regular CUE calculations and use the results to identify inefficiencies or opportunities for emissions reduction. Integrate CUE into internal sustainability reporting.</t>
  </si>
  <si>
    <t>No action needed. Maintain consistent tracking and consider publishing or benchmarking CUE data to support transparency and best practices.</t>
  </si>
  <si>
    <t>Explore opportunities to participate in local or regional energy flexibility schemes, such as demand response programmes or grid-interactive energy management. Assess technical feasibility and potential benefits.</t>
  </si>
  <si>
    <t>Participate in one or more energy flexibility initiatives. Establish internal protocols for responding to external grid signals or adjusting loads dynamically.</t>
  </si>
  <si>
    <t>No action needed. Maintain participation and evaluate performance and value of engagement. Look for additional integration points as technology evolves.</t>
  </si>
  <si>
    <t>Identify key environmental KPIs relevant to RI operations. Begin collecting basic data on at least one dimension (e.g. energy use or waste generation) and define a reporting cadence.</t>
  </si>
  <si>
    <t>Expand KPI measurement to cover multiple impact areas (e.g. GHG, energy, water, waste). Establish consistent reporting processes and assign responsibilities.</t>
  </si>
  <si>
    <t>No action needed. Continue regular monitoring and explore opportunities to align KPI reporting with external frameworks or certifications.</t>
  </si>
  <si>
    <t>Identify opportunities to integrate basic environmental metrics (e.g. energy use, GHG emissions) into routine planning or procurement decisions. Raise awareness among decision-makers.</t>
  </si>
  <si>
    <t>Incorporate environmental metrics into key strategic documents, project evaluations, or budget planning. Ensure decision-makers have access to relevant data during planning cycles.</t>
  </si>
  <si>
    <t>No action needed. Maintain integration and periodically evaluate the influence of metrics on outcomes to ensure environmental performance is driving decisions.</t>
  </si>
  <si>
    <t>Build internal awareness of LCA methods and identify opportunities to apply LCA to RI infrastructure or service components. Consider piloting an LCA for a specific lifecycle phase or asset.</t>
  </si>
  <si>
    <t>Apply LCA to selected infrastructure or services across multiple lifecycle phases. Use the results to inform design or procurement decisions.</t>
  </si>
  <si>
    <t>No action needed. Continue refining LCA approaches and integrating results into sustainability reporting and strategic planning.</t>
  </si>
  <si>
    <t>Review current water usage practices and assess the feasibility of applying Water Usage Effectiveness (WUE) or a comparable metric. Begin collecting relevant data where possible.</t>
  </si>
  <si>
    <t>Implement regular tracking of WUE or similar metrics. Use insights to guide efficiency improvements and water-saving initiatives.</t>
  </si>
  <si>
    <t>No action needed. Continue metric tracking and review performance regularly. Consider benchmarking against best practices or sector peers.</t>
  </si>
  <si>
    <t>Identify suitable tools or platforms for environmental data tracking and reporting. Evaluate whether existing systems (e.g. monitoring software, spreadsheets) meet reporting needs.</t>
  </si>
  <si>
    <t>Implement and configure dedicated tools to track and visualise key environmental indicators. Begin internal reporting and align outputs with decision-making needs.</t>
  </si>
  <si>
    <t>No action needed. Maintain tool usage and explore opportunities for system integration or external disclosure where applicable.</t>
  </si>
  <si>
    <t>Identify main sources of operational and e-waste. Begin implementing basic waste reduction measures (e.g. paperless processes, proper e-waste disposal procedures).</t>
  </si>
  <si>
    <t>Expand and formalise waste reduction initiatives. Introduce structured e-waste handling, asset tracking, and staff awareness programmes.</t>
  </si>
  <si>
    <t>No action needed. Maintain active reduction strategies and consider partnerships for certified e-waste recycling or donation schemes.</t>
  </si>
  <si>
    <t>Develop and document procedures for the proper reuse, recycling, or disposal of decommissioned equipment, in compliance with WEEE or relevant regulations.</t>
  </si>
  <si>
    <t>Implement procedures and ensure responsible parties follow them consistently. Track decommissioned assets and apply certified disposal or reuse practices.</t>
  </si>
  <si>
    <t>No action needed. Maintain procedures and consider auditing or reporting results to enhance transparency and continuous improvement.</t>
  </si>
  <si>
    <t>Review procurement and infrastructure policies to identify opportunities to apply circular IT principles (e.g. reuse, modular design, refurbishment). Begin piloting circular approaches in select areas.</t>
  </si>
  <si>
    <t>Integrate circular IT requirements into procurement specifications and asset management practices. Collaborate with suppliers to support reuse or refurbishment options.</t>
  </si>
  <si>
    <t>No action needed. Sustain and refine circular IT practices. Monitor outcomes and explore additional innovation opportunities (e.g. remanufacturing, take-back schemes).</t>
  </si>
  <si>
    <t>Identify potential pollution risks across RI operations (air, water, soil). Begin planning basic monitoring or mitigation actions in line with legal and environmental standards.</t>
  </si>
  <si>
    <t>Implement monitoring measures (e.g. emission tracking, discharge controls) and integrate them into operational procedures. Ensure staff are trained on pollution management protocols.</t>
  </si>
  <si>
    <t>No action needed. Maintain active pollution monitoring and control systems. Conduct periodic reviews and align practices with evolving environmental standards.</t>
  </si>
  <si>
    <t>Introduce environmental criteria into procurement or product selection processes. Begin prioritising low-impact or non-toxic options, especially for high-volume or high-impact categories.</t>
  </si>
  <si>
    <t>Formalise and apply environmental criteria across material/product procurement. Refer to ecolabels or standards (e.g. EU Ecolabel, ISO 14024) where applicable.</t>
  </si>
  <si>
    <t>No action needed. Maintain current procurement criteria and periodically review for alignment with updated sustainability requirements.</t>
  </si>
  <si>
    <t>Begin monitoring water usage across relevant operations. Identify key consumption points and explore opportunities for reduction (e.g. fixture upgrades, behavioural campaigns).</t>
  </si>
  <si>
    <t>Implement structured water management strategies, such as water-efficient technologies or consumption targets. Regularly track and review water usage data.</t>
  </si>
  <si>
    <t>No action needed. Maintain monitoring and review strategies for continuous improvement or integration into broader environmental reporting.</t>
  </si>
  <si>
    <t>Conduct an initial review of how RI activities or infrastructure may affect local ecosystems or biodiversity. Identify areas of sensitivity and potential impact.</t>
  </si>
  <si>
    <t>Apply formal assessment methods (e.g. environmental impact assessments, habitat studies) and implement mitigation strategies to address identified risks.</t>
  </si>
  <si>
    <t>No action needed. Continue managing ecosystem impacts through structured processes and periodic reassessments, particularly when expanding or modifying infrastructure.</t>
  </si>
  <si>
    <t>Assess site infrastructure to identify opportunities for rainwater harvesting or stormwater management. Begin feasibility studies or pilot planning for basic systems.</t>
  </si>
  <si>
    <t>Install rainwater collection or stormwater control systems. Implement reuse strategies (e.g. for irrigation, cooling) where applicable, and maintain performance records.</t>
  </si>
  <si>
    <t>No action needed. Maintain existing systems and review effectiveness periodically. Explore optimisation opportunities or expand reuse capacity.</t>
  </si>
  <si>
    <t>Develop and deliver basic sustainability awareness sessions for staff. Tailor content to general operational relevance and RI objectives.</t>
  </si>
  <si>
    <t>Establish structured training programmes with role-specific content. Include periodic refreshers and track staff participation and feedback.</t>
  </si>
  <si>
    <t>No action needed. Maintain comprehensive training programmes and consider integrating sustainability awareness into onboarding and performance reviews.</t>
  </si>
  <si>
    <t>Identify key stakeholder groups and initiate basic engagement on environmental topics (e.g. surveys, meetings, informal consultations).</t>
  </si>
  <si>
    <t>Develop a structured stakeholder engagement plan that includes regular input into sustainability planning or goal-setting processes. Document outcomes and integrate feedback.</t>
  </si>
  <si>
    <t>No action needed. Continue proactive stakeholder engagement and track participation and influence on environmental decisions.</t>
  </si>
  <si>
    <t>Identify key performance metrics and develop internal channels for sharing environmental information (e.g. newsletters, intranet updates).</t>
  </si>
  <si>
    <t>Establish regular reporting cycles and communication plans for both internal and external audiences. Include key performance indicators, progress on goals, and future plans.</t>
  </si>
  <si>
    <t>Introduce sustainability checkpoints into design and planning processes. Begin referencing basic sustainability principles or guidelines during early-stage decision-making.</t>
  </si>
  <si>
    <t>Embed defined sustainability criteria into design frameworks, including materials selection, energy efficiency, and end-of-life considerations. Document decisions and outcomes.</t>
  </si>
  <si>
    <t>No action needed. Maintain integrated sustainability planning and periodically review alignment with updated standards and organisational goals.</t>
  </si>
  <si>
    <t>Identify implementation phases where sustainability can be applied (e.g. material sourcing, vendor selection, construction). Begin including basic criteria in execution checklists.</t>
  </si>
  <si>
    <t>Formalise sustainability criteria within procurement and deployment procedures. Monitor compliance and document implementation outcomes.</t>
  </si>
  <si>
    <t>No action needed. Maintain and review implementation practices to ensure continued alignment with sustainability standards and operational objectives.</t>
  </si>
  <si>
    <t>Identify operational areas where sustainability practices can be introduced (e.g. energy management, resource efficiency, preventive maintenance). Begin applying basic principles.</t>
  </si>
  <si>
    <t>Implement structured sustainability practices into operations and maintenance (e.g. energy tracking, green cleaning protocols, lifecycle extension). Monitor effectiveness and adjust as needed.</t>
  </si>
  <si>
    <t>No action needed. Maintain existing practices and explore new opportunities to enhance operational sustainability.</t>
  </si>
  <si>
    <t>Review existing decommissioning or termination procedures and identify gaps related to environmental impact (e.g. equipment disposal, site remediation). Draft basic guidelines for responsible end-of-life practices.</t>
  </si>
  <si>
    <t>Integrate formal environmental considerations into decommissioning plans, including reuse, recycling, and waste minimisation. Assign responsibilities and track execution.</t>
  </si>
  <si>
    <t>No action needed. Maintain current decommissioning protocols and review periodically for alignment with best practices and emerging requirements.</t>
  </si>
  <si>
    <t>G1: Alignment with relevant EU regulations (CSRD, ESRS, EED, ESPR, WEEE, LCA, ISO14040, ISO14044)</t>
  </si>
  <si>
    <t>M3: Lifecycle-based environmental impact assessment (based on LCA methodology)</t>
  </si>
  <si>
    <t>P1: Reduction of operational waste (incl. e-waste)</t>
  </si>
  <si>
    <t>P2: End-of-life management for equipment</t>
  </si>
  <si>
    <t>P3: Circular IT practices (reuse, remanufacturing, modularity)</t>
  </si>
  <si>
    <t>P4: Pollution control (air, water, soil)</t>
  </si>
  <si>
    <t>P5: Use of low-impact or non-toxic materials</t>
  </si>
  <si>
    <t>W1: Water usage monitoring and reduction strategies</t>
  </si>
  <si>
    <t>W2: Impact on local ecosystems or biodiversity</t>
  </si>
  <si>
    <t>W3: Rainwater harvesting, reuse, or runoff management</t>
  </si>
  <si>
    <t>To what extent is the RI aligned with relevant EU environmental regulations such as CSRD, ESRS, EED, ESPR, WEEE, LCA, ISO14040, ISO14044?</t>
  </si>
  <si>
    <t>CSRD, ESRS E1-E5,  ESPR, EED, WEEE, LCA, ISO14040, ISO14044</t>
  </si>
  <si>
    <t>ISO 14001, CSRD</t>
  </si>
  <si>
    <t>ISO 14001, CSRD, EMAS</t>
  </si>
  <si>
    <t>ISO 20400, ESRS G1, ESRS E5, EU Green Public Procurement Guidelines</t>
  </si>
  <si>
    <t>ISO 14006, ESRS E1, ESPR, EU Taxonomy (Substantial Contribution Criteria)</t>
  </si>
  <si>
    <t>ISO 14001, ISO 50001, ESRS, ESPR, EED</t>
  </si>
  <si>
    <t>Leader</t>
  </si>
  <si>
    <t>Deadline</t>
  </si>
  <si>
    <t>Status</t>
  </si>
  <si>
    <t>Remarks</t>
  </si>
  <si>
    <t>Has the RI conducted or applied lifecycle assessments (LCA) to evaluate its environmental impact across different phases, including monitoring of Global Warming Potential (GWP) and Cumulative Energy Demand (CED)?</t>
  </si>
  <si>
    <t>W4: Water-based cooling systems and water efficiency strategies</t>
  </si>
  <si>
    <t>P1.1</t>
  </si>
  <si>
    <t>P2.1</t>
  </si>
  <si>
    <t>P3.1</t>
  </si>
  <si>
    <t>P4.1</t>
  </si>
  <si>
    <t>P5.1</t>
  </si>
  <si>
    <t>Does the RI use water-based cooling systems, and are measures in place to optimise their water efficiency and minimise environmental impact?</t>
  </si>
  <si>
    <t>ISO 30134-9, ESRS E3, EU CoC for Data Centres</t>
  </si>
  <si>
    <t>Water Usage Effectiveness (WUE), annual water withdrawal for cooling</t>
  </si>
  <si>
    <t>Water-based cooling systems are used, but water consumption is not actively monitored or optimised. No clear strategy exists for minimising impact.</t>
  </si>
  <si>
    <t>Water consumption for cooling is monitored, and efficiency strategies (e.g. recycling, closed-loop systems) are partially implemented. Environmental considerations are acknowledged but not systematically applied.</t>
  </si>
  <si>
    <t>Water efficiency is embedded in cooling system design and operation. WUE is tracked, targets are set, and strategies are actively used to reduce water use and minimise ecological impact.</t>
  </si>
  <si>
    <t>Begin tracking water usage related to cooling systems. Identify inefficiencies and research available technologies for reducing consumption or shifting to closed-loop or hybrid systems.</t>
  </si>
  <si>
    <t>Implement water-saving strategies such as evaporative cooling optimisation, water reuse, or integration of hybrid cooling. Document performance and begin setting reduction goals.</t>
  </si>
  <si>
    <t>No action needed. Maintain current best practices, regularly review WUE performance, and update systems based on evolving best-in-class approaches.</t>
  </si>
  <si>
    <t>WUE data / cooling system specs</t>
  </si>
  <si>
    <r>
      <rPr>
        <b/>
        <i/>
        <u/>
        <sz val="12"/>
        <color theme="6" tint="-0.249977111117893"/>
        <rFont val="Calibri"/>
        <family val="2"/>
      </rPr>
      <t>Task</t>
    </r>
    <r>
      <rPr>
        <b/>
        <i/>
        <sz val="12"/>
        <color theme="6" tint="-0.249977111117893"/>
        <rFont val="Calibri"/>
        <family val="2"/>
      </rPr>
      <t xml:space="preserve"> /
activity</t>
    </r>
  </si>
  <si>
    <r>
      <t xml:space="preserve">📝 </t>
    </r>
    <r>
      <rPr>
        <b/>
        <sz val="14"/>
        <color theme="1"/>
        <rFont val="Aptos Narrow"/>
        <scheme val="minor"/>
      </rPr>
      <t>Instructions</t>
    </r>
    <r>
      <rPr>
        <sz val="14"/>
        <color theme="1"/>
        <rFont val="Aptos Narrow"/>
        <family val="2"/>
        <scheme val="minor"/>
      </rPr>
      <t xml:space="preserve">
This self-assessment tool is designed to help Research Infrastructures (RIs) evaluate their environmental sustainability practices across multiple operational and strategic dimensions. It supports alignment with key EU regulations, standards, and the GreenDIGIT project methodology.
The questionnaire is structured around the following thematic areas:
	•	Governance and Compliance
	•	Stakeholder Engagement and Awareness
	•	Energy Efficiency and Decarbonisation
	•	Environmental Monitoring and Impact
	•	Pollution, Waste, and Circularity
	•	Water and Ecosystems
	•	Lifecycle Integration
Each thematic area contains specific evaluation items, which the RI is asked to rate using a 3-level capability maturity scale. The responses generate insights into current performance, areas for improvement, and action priorities.
✅ </t>
    </r>
    <r>
      <rPr>
        <b/>
        <sz val="14"/>
        <color theme="1"/>
        <rFont val="Aptos Narrow"/>
        <scheme val="minor"/>
      </rPr>
      <t>How to use the tool</t>
    </r>
    <r>
      <rPr>
        <sz val="14"/>
        <color theme="1"/>
        <rFont val="Aptos Narrow"/>
        <family val="2"/>
        <scheme val="minor"/>
      </rPr>
      <t xml:space="preserve">
	1.	Start with the “Scope &amp; Goals” tab
Define the scope of the assessment and set target capability levels for each sub-topic.
	2.	Proceed to the “Assessment &amp; Actions” tab
For each question:
	•	Select your current capability level (1–3).
	•	Provide a brief rationale and attach any relevant evidence.
	•	Review the automatically generated improvement priority and recommended action.
	3.	View results in the “Priority &amp; Capability Results” tab
This section compares your current levels against targets and flags whether goals are met.
	4.	Open the “Action Plan &amp; Monitoring” tab
	•	Review all recommended actions generated based on your assessment.
	•	For each action, indicate the estimated effort required.
	•	The sheet will automatically compute an Implementation Priority to help plan follow-up activities.
📌 </t>
    </r>
    <r>
      <rPr>
        <b/>
        <sz val="14"/>
        <color theme="1"/>
        <rFont val="Aptos Narrow"/>
        <scheme val="minor"/>
      </rPr>
      <t>Use this tool to:</t>
    </r>
    <r>
      <rPr>
        <sz val="14"/>
        <color theme="1"/>
        <rFont val="Aptos Narrow"/>
        <family val="2"/>
        <scheme val="minor"/>
      </rPr>
      <t xml:space="preserve">
	•	Identify sustainability gaps and maturity levels
	•	Support lifecycle-based environmental planning
	•	Prepare for alignment with frameworks like CSRD, ESRS, EED, ISO 14001, and ESFRI
	•	Feed directly into the development of sustainability strategies and environmental impact actions</t>
    </r>
  </si>
  <si>
    <t>Review existing policies, management systems, and quality frameworks to identify where environmental sustainability is absent. Begin drafting updates or addenda that reflect sustainability considerations.</t>
  </si>
  <si>
    <t>The table to the left allow you to set scope and targets for environmental sustainability capabilities of your RI.</t>
  </si>
  <si>
    <t xml:space="preserve">The sections below allow you to set scope and goals for your assessment. If you set neither the scope or goals (leave settings as they are), you will be presented with all requirements and results. We recommend that you begin with all topics and results unless you have guidance and support in setting and appropriate scope and fitting goals. </t>
  </si>
  <si>
    <t>E4: Power Usage Effectiveness (PUE) tracking and optimisation</t>
  </si>
  <si>
    <t>Awareness is minimal, and practices are largely unstructured</t>
  </si>
  <si>
    <t>Some measures exist, but they are inconsistent or not formalised.</t>
  </si>
  <si>
    <t>The RI is confident that the topic is systematically addressed with well-defined practices.</t>
  </si>
  <si>
    <t>Level 1: Initial / Ad hoc</t>
  </si>
  <si>
    <t>Level 2: Developing / Partial</t>
  </si>
  <si>
    <t>Level 3: Established / Assured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</si>
</sst>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2"/>
      <color theme="1"/>
      <name val="Aptos Narrow"/>
      <family val="2"/>
      <scheme val="minor"/>
    </font>
    <font>
      <sz val="14"/>
      <color theme="0"/>
      <name val="Calibri"/>
      <family val="2"/>
    </font>
    <font>
      <sz val="18"/>
      <color theme="0"/>
      <name val="Calibri"/>
      <family val="2"/>
    </font>
    <font>
      <b/>
      <sz val="14"/>
      <color theme="1"/>
      <name val="Aptos Narrow"/>
      <family val="2"/>
      <scheme val="minor"/>
    </font>
    <font>
      <sz val="14"/>
      <color theme="1"/>
      <name val="Aptos Narrow"/>
      <family val="2"/>
      <scheme val="minor"/>
    </font>
    <font>
      <sz val="12"/>
      <color rgb="FF008000"/>
      <name val="Aptos Narrow"/>
      <family val="2"/>
      <scheme val="minor"/>
    </font>
    <font>
      <sz val="12"/>
      <color rgb="FF000000"/>
      <name val="Aptos Narrow"/>
      <family val="2"/>
      <scheme val="minor"/>
    </font>
    <font>
      <sz val="12"/>
      <color rgb="FF1B99C6"/>
      <name val="Aptos Narrow"/>
      <family val="2"/>
      <scheme val="minor"/>
    </font>
    <font>
      <sz val="11"/>
      <color rgb="FF000000"/>
      <name val="Aptos Narrow"/>
      <family val="2"/>
      <scheme val="minor"/>
    </font>
    <font>
      <b/>
      <sz val="16"/>
      <color theme="1"/>
      <name val="Aptos Narrow"/>
      <family val="2"/>
      <scheme val="minor"/>
    </font>
    <font>
      <b/>
      <sz val="12"/>
      <color rgb="FF000000"/>
      <name val="Aptos Narrow"/>
      <family val="2"/>
      <scheme val="minor"/>
    </font>
    <font>
      <sz val="12"/>
      <color theme="1"/>
      <name val="Aptos Narrow"/>
      <family val="2"/>
      <scheme val="minor"/>
    </font>
    <font>
      <b/>
      <sz val="12"/>
      <color theme="1"/>
      <name val="Calibri"/>
      <family val="2"/>
    </font>
    <font>
      <sz val="12"/>
      <name val="Calibri"/>
      <family val="2"/>
    </font>
    <font>
      <sz val="12"/>
      <color theme="1"/>
      <name val="Calibri"/>
      <family val="2"/>
    </font>
    <font>
      <b/>
      <sz val="24"/>
      <color theme="9" tint="-0.249977111117893"/>
      <name val="Calibri"/>
      <family val="2"/>
    </font>
    <font>
      <b/>
      <i/>
      <sz val="12"/>
      <color theme="9" tint="-0.249977111117893"/>
      <name val="Calibri"/>
      <family val="2"/>
    </font>
    <font>
      <b/>
      <i/>
      <u/>
      <sz val="12"/>
      <color theme="9" tint="-0.249977111117893"/>
      <name val="Calibri"/>
      <family val="2"/>
    </font>
    <font>
      <b/>
      <sz val="12"/>
      <color theme="9" tint="-0.249977111117893"/>
      <name val="Calibri"/>
      <family val="2"/>
    </font>
    <font>
      <b/>
      <sz val="24"/>
      <color theme="8" tint="-0.249977111117893"/>
      <name val="Calibri"/>
      <family val="2"/>
    </font>
    <font>
      <b/>
      <i/>
      <sz val="12"/>
      <color theme="8" tint="-0.249977111117893"/>
      <name val="Calibri"/>
      <family val="2"/>
    </font>
    <font>
      <b/>
      <i/>
      <u/>
      <sz val="12"/>
      <color theme="8" tint="-0.249977111117893"/>
      <name val="Calibri"/>
      <family val="2"/>
    </font>
    <font>
      <b/>
      <sz val="12"/>
      <color theme="8" tint="-0.249977111117893"/>
      <name val="Calibri"/>
      <family val="2"/>
    </font>
    <font>
      <b/>
      <i/>
      <sz val="12"/>
      <color theme="7" tint="-0.249977111117893"/>
      <name val="Calibri"/>
      <family val="2"/>
    </font>
    <font>
      <b/>
      <i/>
      <u/>
      <sz val="12"/>
      <color theme="7" tint="-0.249977111117893"/>
      <name val="Calibri"/>
      <family val="2"/>
    </font>
    <font>
      <b/>
      <sz val="12"/>
      <color theme="7" tint="-0.249977111117893"/>
      <name val="Calibri"/>
      <family val="2"/>
    </font>
    <font>
      <b/>
      <sz val="24"/>
      <color theme="7" tint="-0.249977111117893"/>
      <name val="Calibri"/>
      <family val="2"/>
    </font>
    <font>
      <b/>
      <i/>
      <sz val="12"/>
      <color theme="5" tint="-0.249977111117893"/>
      <name val="Calibri"/>
      <family val="2"/>
    </font>
    <font>
      <b/>
      <i/>
      <u/>
      <sz val="12"/>
      <color theme="5" tint="-0.249977111117893"/>
      <name val="Calibri"/>
      <family val="2"/>
    </font>
    <font>
      <b/>
      <sz val="12"/>
      <color theme="5" tint="-0.249977111117893"/>
      <name val="Calibri"/>
      <family val="2"/>
    </font>
    <font>
      <b/>
      <sz val="24"/>
      <color theme="5" tint="-0.249977111117893"/>
      <name val="Calibri"/>
      <family val="2"/>
    </font>
    <font>
      <b/>
      <i/>
      <sz val="12"/>
      <color theme="4" tint="-0.249977111117893"/>
      <name val="Calibri"/>
      <family val="2"/>
    </font>
    <font>
      <b/>
      <i/>
      <u/>
      <sz val="12"/>
      <color theme="4" tint="-0.249977111117893"/>
      <name val="Calibri"/>
      <family val="2"/>
    </font>
    <font>
      <b/>
      <sz val="12"/>
      <color theme="4" tint="-0.249977111117893"/>
      <name val="Calibri"/>
      <family val="2"/>
    </font>
    <font>
      <b/>
      <sz val="24"/>
      <color theme="4" tint="-0.249977111117893"/>
      <name val="Calibri"/>
      <family val="2"/>
    </font>
    <font>
      <b/>
      <sz val="24"/>
      <color theme="3" tint="0.249977111117893"/>
      <name val="Calibri"/>
      <family val="2"/>
    </font>
    <font>
      <b/>
      <sz val="12"/>
      <color theme="3" tint="0.249977111117893"/>
      <name val="Calibri"/>
      <family val="2"/>
    </font>
    <font>
      <b/>
      <i/>
      <sz val="12"/>
      <color theme="3" tint="0.249977111117893"/>
      <name val="Calibri"/>
      <family val="2"/>
    </font>
    <font>
      <b/>
      <i/>
      <u/>
      <sz val="12"/>
      <color theme="3" tint="0.249977111117893"/>
      <name val="Calibri"/>
      <family val="2"/>
    </font>
    <font>
      <sz val="12"/>
      <color rgb="FF000000"/>
      <name val="Calibri"/>
      <family val="2"/>
    </font>
    <font>
      <b/>
      <sz val="12"/>
      <color theme="8"/>
      <name val="Calibri"/>
      <family val="2"/>
    </font>
    <font>
      <b/>
      <sz val="12"/>
      <color theme="5"/>
      <name val="Calibri"/>
      <family val="2"/>
    </font>
    <font>
      <b/>
      <i/>
      <sz val="12"/>
      <color theme="6" tint="-0.249977111117893"/>
      <name val="Calibri"/>
      <family val="2"/>
    </font>
    <font>
      <b/>
      <i/>
      <u/>
      <sz val="12"/>
      <color theme="6" tint="-0.249977111117893"/>
      <name val="Calibri"/>
      <family val="2"/>
    </font>
    <font>
      <b/>
      <sz val="12"/>
      <color theme="6" tint="-0.249977111117893"/>
      <name val="Calibri"/>
      <family val="2"/>
    </font>
    <font>
      <b/>
      <sz val="24"/>
      <color theme="6" tint="-0.249977111117893"/>
      <name val="Calibri"/>
      <family val="2"/>
    </font>
    <font>
      <b/>
      <sz val="14"/>
      <color theme="1"/>
      <name val="Aptos Narrow"/>
      <scheme val="minor"/>
    </font>
    <font>
      <sz val="16"/>
      <color theme="5"/>
      <name val="Calibri"/>
      <family val="2"/>
    </font>
    <font>
      <sz val="12"/>
      <color theme="5"/>
      <name val="Calibri"/>
      <family val="2"/>
    </font>
    <font>
      <sz val="12"/>
      <color theme="5"/>
      <name val="Aptos Narrow"/>
      <family val="2"/>
      <scheme val="minor"/>
    </font>
    <font>
      <b/>
      <sz val="16"/>
      <color theme="5"/>
      <name val="Aptos Narrow"/>
      <family val="2"/>
      <scheme val="minor"/>
    </font>
    <font>
      <b/>
      <sz val="14"/>
      <color theme="9" tint="-0.249977111117893"/>
      <name val="Calibri"/>
      <family val="2"/>
    </font>
    <font>
      <sz val="14"/>
      <color theme="9" tint="-0.249977111117893"/>
      <name val="Calibri"/>
      <family val="2"/>
    </font>
    <font>
      <b/>
      <sz val="14"/>
      <color theme="3" tint="0.249977111117893"/>
      <name val="Calibri"/>
      <family val="2"/>
    </font>
    <font>
      <sz val="14"/>
      <color theme="3" tint="0.249977111117893"/>
      <name val="Calibri"/>
      <family val="2"/>
    </font>
    <font>
      <b/>
      <sz val="14"/>
      <color theme="8" tint="-0.249977111117893"/>
      <name val="Calibri"/>
      <family val="2"/>
    </font>
    <font>
      <sz val="14"/>
      <color theme="8" tint="-0.249977111117893"/>
      <name val="Calibri"/>
      <family val="2"/>
    </font>
    <font>
      <b/>
      <sz val="14"/>
      <color theme="4" tint="-0.249977111117893"/>
      <name val="Calibri"/>
      <family val="2"/>
    </font>
    <font>
      <sz val="14"/>
      <color theme="4" tint="-0.249977111117893"/>
      <name val="Calibri"/>
      <family val="2"/>
    </font>
    <font>
      <b/>
      <sz val="14"/>
      <color theme="6" tint="-0.249977111117893"/>
      <name val="Calibri"/>
      <family val="2"/>
    </font>
    <font>
      <sz val="14"/>
      <color theme="6" tint="-0.249977111117893"/>
      <name val="Calibri"/>
      <family val="2"/>
    </font>
    <font>
      <b/>
      <sz val="14"/>
      <color theme="5" tint="-0.249977111117893"/>
      <name val="Calibri"/>
      <family val="2"/>
    </font>
    <font>
      <sz val="14"/>
      <color theme="5" tint="-0.249977111117893"/>
      <name val="Calibri"/>
      <family val="2"/>
    </font>
    <font>
      <b/>
      <sz val="14"/>
      <color theme="7" tint="-0.249977111117893"/>
      <name val="Calibri"/>
      <family val="2"/>
    </font>
    <font>
      <sz val="14"/>
      <color theme="7" tint="-0.249977111117893"/>
      <name val="Calibri"/>
      <family val="2"/>
    </font>
  </fonts>
  <fills count="5">
    <fill>
      <patternFill patternType="none"/>
    </fill>
    <fill>
      <patternFill patternType="gray125"/>
    </fill>
    <fill>
      <patternFill patternType="solid">
        <fgColor rgb="FF205595"/>
        <bgColor indexed="64"/>
      </patternFill>
    </fill>
    <fill>
      <patternFill patternType="solid">
        <fgColor theme="0"/>
        <bgColor indexed="64"/>
      </patternFill>
    </fill>
    <fill>
      <patternFill patternType="solid">
        <fgColor rgb="FFFFFFFF"/>
        <bgColor rgb="FF000000"/>
      </patternFill>
    </fill>
  </fills>
  <borders count="47">
    <border>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diagonal/>
    </border>
    <border>
      <left/>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dotted">
        <color auto="1"/>
      </right>
      <top style="medium">
        <color auto="1"/>
      </top>
      <bottom/>
      <diagonal/>
    </border>
    <border>
      <left style="dotted">
        <color auto="1"/>
      </left>
      <right style="dotted">
        <color auto="1"/>
      </right>
      <top style="medium">
        <color auto="1"/>
      </top>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diagonal/>
    </border>
    <border>
      <left style="medium">
        <color auto="1"/>
      </left>
      <right style="dotted">
        <color auto="1"/>
      </right>
      <top/>
      <bottom/>
      <diagonal/>
    </border>
    <border>
      <left style="dotted">
        <color auto="1"/>
      </left>
      <right style="dotted">
        <color auto="1"/>
      </right>
      <top/>
      <bottom/>
      <diagonal/>
    </border>
    <border>
      <left style="dotted">
        <color auto="1"/>
      </left>
      <right style="dotted">
        <color auto="1"/>
      </right>
      <top style="dotted">
        <color auto="1"/>
      </top>
      <bottom style="dotted">
        <color auto="1"/>
      </bottom>
      <diagonal/>
    </border>
    <border>
      <left style="dotted">
        <color auto="1"/>
      </left>
      <right style="medium">
        <color auto="1"/>
      </right>
      <top/>
      <bottom/>
      <diagonal/>
    </border>
    <border>
      <left style="medium">
        <color auto="1"/>
      </left>
      <right style="dotted">
        <color auto="1"/>
      </right>
      <top/>
      <bottom style="thin">
        <color auto="1"/>
      </bottom>
      <diagonal/>
    </border>
    <border>
      <left style="dotted">
        <color auto="1"/>
      </left>
      <right style="dotted">
        <color auto="1"/>
      </right>
      <top/>
      <bottom style="thin">
        <color auto="1"/>
      </bottom>
      <diagonal/>
    </border>
    <border>
      <left style="dotted">
        <color auto="1"/>
      </left>
      <right style="dotted">
        <color auto="1"/>
      </right>
      <top style="dotted">
        <color auto="1"/>
      </top>
      <bottom style="thin">
        <color auto="1"/>
      </bottom>
      <diagonal/>
    </border>
    <border>
      <left style="dotted">
        <color auto="1"/>
      </left>
      <right style="medium">
        <color auto="1"/>
      </right>
      <top/>
      <bottom style="thin">
        <color auto="1"/>
      </bottom>
      <diagonal/>
    </border>
    <border>
      <left style="dotted">
        <color auto="1"/>
      </left>
      <right style="dotted">
        <color auto="1"/>
      </right>
      <top style="thin">
        <color auto="1"/>
      </top>
      <bottom/>
      <diagonal/>
    </border>
    <border>
      <left style="dotted">
        <color auto="1"/>
      </left>
      <right style="dotted">
        <color auto="1"/>
      </right>
      <top/>
      <bottom style="medium">
        <color auto="1"/>
      </bottom>
      <diagonal/>
    </border>
    <border>
      <left style="medium">
        <color auto="1"/>
      </left>
      <right style="dotted">
        <color auto="1"/>
      </right>
      <top/>
      <bottom style="medium">
        <color auto="1"/>
      </bottom>
      <diagonal/>
    </border>
    <border>
      <left style="thin">
        <color auto="1"/>
      </left>
      <right/>
      <top style="medium">
        <color auto="1"/>
      </top>
      <bottom style="medium">
        <color auto="1"/>
      </bottom>
      <diagonal/>
    </border>
    <border>
      <left style="dotted">
        <color auto="1"/>
      </left>
      <right/>
      <top style="medium">
        <color auto="1"/>
      </top>
      <bottom style="medium">
        <color auto="1"/>
      </bottom>
      <diagonal/>
    </border>
    <border>
      <left style="dotted">
        <color auto="1"/>
      </left>
      <right style="medium">
        <color auto="1"/>
      </right>
      <top style="thin">
        <color auto="1"/>
      </top>
      <bottom/>
      <diagonal/>
    </border>
    <border>
      <left style="dotted">
        <color auto="1"/>
      </left>
      <right style="medium">
        <color auto="1"/>
      </right>
      <top/>
      <bottom style="medium">
        <color auto="1"/>
      </bottom>
      <diagonal/>
    </border>
    <border>
      <left style="dotted">
        <color auto="1"/>
      </left>
      <right style="dotted">
        <color auto="1"/>
      </right>
      <top/>
      <bottom style="dotted">
        <color auto="1"/>
      </bottom>
      <diagonal/>
    </border>
    <border>
      <left style="medium">
        <color auto="1"/>
      </left>
      <right/>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dotted">
        <color auto="1"/>
      </left>
      <right style="dotted">
        <color auto="1"/>
      </right>
      <top style="dotted">
        <color auto="1"/>
      </top>
      <bottom/>
      <diagonal/>
    </border>
    <border>
      <left style="dotted">
        <color auto="1"/>
      </left>
      <right style="dotted">
        <color auto="1"/>
      </right>
      <top style="dotted">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11" fillId="0" borderId="0"/>
  </cellStyleXfs>
  <cellXfs count="312">
    <xf numFmtId="0" fontId="0" fillId="0" borderId="0" xfId="0"/>
    <xf numFmtId="0" fontId="0" fillId="3" borderId="0" xfId="0" applyFill="1"/>
    <xf numFmtId="0" fontId="3" fillId="3" borderId="0" xfId="0" applyFont="1" applyFill="1"/>
    <xf numFmtId="0" fontId="5" fillId="3" borderId="0" xfId="0" applyFont="1" applyFill="1" applyAlignment="1">
      <alignment vertical="center" wrapText="1"/>
    </xf>
    <xf numFmtId="0" fontId="6" fillId="3" borderId="0" xfId="0" applyFont="1" applyFill="1" applyAlignment="1">
      <alignment vertical="top" wrapText="1"/>
    </xf>
    <xf numFmtId="0" fontId="5" fillId="3" borderId="0" xfId="0" applyFont="1" applyFill="1" applyAlignment="1">
      <alignment horizontal="left" vertical="center" wrapText="1"/>
    </xf>
    <xf numFmtId="0" fontId="6" fillId="3" borderId="0" xfId="0" applyFont="1" applyFill="1" applyAlignment="1">
      <alignment horizontal="left" vertical="top" wrapText="1"/>
    </xf>
    <xf numFmtId="0" fontId="7" fillId="3" borderId="0" xfId="0" applyFont="1" applyFill="1" applyAlignment="1">
      <alignment horizontal="left" vertical="center" wrapText="1"/>
    </xf>
    <xf numFmtId="0" fontId="7" fillId="3" borderId="0" xfId="0" applyFont="1" applyFill="1" applyAlignment="1">
      <alignment horizontal="center" vertical="center" wrapText="1"/>
    </xf>
    <xf numFmtId="0" fontId="8" fillId="3" borderId="0" xfId="0" applyFont="1" applyFill="1" applyAlignment="1">
      <alignment vertical="top" wrapText="1"/>
    </xf>
    <xf numFmtId="0" fontId="9" fillId="3" borderId="0" xfId="0" applyFont="1" applyFill="1" applyAlignment="1">
      <alignment horizontal="left" wrapText="1"/>
    </xf>
    <xf numFmtId="0" fontId="6" fillId="3" borderId="0" xfId="0" applyFont="1" applyFill="1"/>
    <xf numFmtId="20" fontId="10" fillId="3" borderId="0" xfId="0" applyNumberFormat="1" applyFont="1" applyFill="1" applyAlignment="1">
      <alignment vertical="top"/>
    </xf>
    <xf numFmtId="0" fontId="0" fillId="3" borderId="0" xfId="0" applyFill="1" applyAlignment="1">
      <alignment vertical="top"/>
    </xf>
    <xf numFmtId="0" fontId="10" fillId="3" borderId="0" xfId="0" applyFont="1" applyFill="1" applyAlignment="1">
      <alignment vertical="top"/>
    </xf>
    <xf numFmtId="0" fontId="6" fillId="3" borderId="0" xfId="0" applyFont="1" applyFill="1" applyAlignment="1">
      <alignment vertical="top"/>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3" xfId="0" applyFont="1" applyBorder="1" applyAlignment="1">
      <alignment horizontal="left" vertical="center" wrapText="1"/>
    </xf>
    <xf numFmtId="0" fontId="14" fillId="0" borderId="20" xfId="0" applyFont="1" applyBorder="1" applyAlignment="1">
      <alignment horizontal="left" vertical="top" wrapText="1"/>
    </xf>
    <xf numFmtId="0" fontId="13" fillId="0" borderId="20" xfId="0" applyFont="1" applyBorder="1" applyAlignment="1">
      <alignment vertical="top" wrapText="1"/>
    </xf>
    <xf numFmtId="0" fontId="14" fillId="0" borderId="24" xfId="0" applyFont="1" applyBorder="1" applyAlignment="1">
      <alignment horizontal="left" vertical="top" wrapText="1"/>
    </xf>
    <xf numFmtId="0" fontId="13" fillId="0" borderId="24" xfId="0" applyFont="1" applyBorder="1" applyAlignment="1">
      <alignment vertical="top" wrapText="1"/>
    </xf>
    <xf numFmtId="0" fontId="14" fillId="0" borderId="28" xfId="0" applyFont="1" applyBorder="1" applyAlignment="1">
      <alignment horizontal="left" vertical="top" wrapText="1"/>
    </xf>
    <xf numFmtId="0" fontId="13" fillId="0" borderId="28" xfId="0" applyFont="1" applyBorder="1" applyAlignment="1">
      <alignment vertical="top" wrapText="1"/>
    </xf>
    <xf numFmtId="0" fontId="9" fillId="3" borderId="0" xfId="0" applyFont="1" applyFill="1" applyAlignment="1">
      <alignment horizontal="center" vertical="center" wrapText="1"/>
    </xf>
    <xf numFmtId="0" fontId="9" fillId="3" borderId="0" xfId="0" applyFont="1" applyFill="1" applyAlignment="1">
      <alignment horizontal="center"/>
    </xf>
    <xf numFmtId="0" fontId="0" fillId="3" borderId="0" xfId="0" applyFill="1" applyAlignment="1">
      <alignment horizontal="center" vertical="top" wrapText="1"/>
    </xf>
    <xf numFmtId="0" fontId="0" fillId="3" borderId="0" xfId="0" applyFill="1" applyAlignment="1">
      <alignment horizontal="center" vertical="top"/>
    </xf>
    <xf numFmtId="0" fontId="18" fillId="3" borderId="0" xfId="0" applyFont="1" applyFill="1" applyAlignment="1">
      <alignment horizontal="center"/>
    </xf>
    <xf numFmtId="0" fontId="14" fillId="3" borderId="0" xfId="0" applyFont="1" applyFill="1" applyAlignment="1">
      <alignment horizontal="center"/>
    </xf>
    <xf numFmtId="0" fontId="14" fillId="0" borderId="23" xfId="0" applyFont="1" applyBorder="1" applyAlignment="1">
      <alignment horizontal="left" vertical="top" wrapText="1"/>
    </xf>
    <xf numFmtId="0" fontId="13" fillId="0" borderId="23" xfId="0" applyFont="1" applyBorder="1" applyAlignment="1">
      <alignment vertical="top" wrapText="1"/>
    </xf>
    <xf numFmtId="0" fontId="12" fillId="0" borderId="33" xfId="0" applyFont="1" applyBorder="1" applyAlignment="1">
      <alignment horizontal="center" vertical="center" wrapText="1"/>
    </xf>
    <xf numFmtId="0" fontId="13" fillId="0" borderId="19" xfId="1" applyFont="1" applyBorder="1" applyAlignment="1">
      <alignment horizontal="center" vertical="top" wrapText="1"/>
    </xf>
    <xf numFmtId="0" fontId="13" fillId="0" borderId="23" xfId="1" applyFont="1" applyBorder="1" applyAlignment="1">
      <alignment horizontal="center" vertical="top" wrapText="1"/>
    </xf>
    <xf numFmtId="0" fontId="13" fillId="0" borderId="27" xfId="1" applyFont="1" applyBorder="1" applyAlignment="1">
      <alignment horizontal="center" vertical="top" wrapText="1"/>
    </xf>
    <xf numFmtId="0" fontId="13" fillId="0" borderId="31" xfId="1" applyFont="1" applyBorder="1" applyAlignment="1">
      <alignment horizontal="center" vertical="top" wrapText="1"/>
    </xf>
    <xf numFmtId="0" fontId="14" fillId="0" borderId="42" xfId="0" applyFont="1" applyBorder="1" applyAlignment="1">
      <alignment horizontal="left" vertical="top" wrapText="1"/>
    </xf>
    <xf numFmtId="0" fontId="13" fillId="0" borderId="42" xfId="0" applyFont="1" applyBorder="1" applyAlignment="1">
      <alignment vertical="top" wrapText="1"/>
    </xf>
    <xf numFmtId="0" fontId="14" fillId="0" borderId="19" xfId="0" applyFont="1" applyBorder="1" applyAlignment="1">
      <alignment horizontal="left" vertical="top" wrapText="1"/>
    </xf>
    <xf numFmtId="0" fontId="13" fillId="0" borderId="19" xfId="0" applyFont="1" applyBorder="1" applyAlignment="1">
      <alignment vertical="top" wrapText="1"/>
    </xf>
    <xf numFmtId="0" fontId="14" fillId="0" borderId="31" xfId="0" applyFont="1" applyBorder="1" applyAlignment="1">
      <alignment horizontal="left" vertical="top" wrapText="1"/>
    </xf>
    <xf numFmtId="0" fontId="13" fillId="0" borderId="31" xfId="0" applyFont="1" applyBorder="1" applyAlignment="1">
      <alignment vertical="top" wrapText="1"/>
    </xf>
    <xf numFmtId="0" fontId="25" fillId="3" borderId="0" xfId="0" applyFont="1" applyFill="1" applyAlignment="1">
      <alignment horizontal="center"/>
    </xf>
    <xf numFmtId="0" fontId="33" fillId="3" borderId="0" xfId="0" applyFont="1" applyFill="1" applyAlignment="1">
      <alignment horizontal="center"/>
    </xf>
    <xf numFmtId="0" fontId="36" fillId="3" borderId="0" xfId="0" applyFont="1" applyFill="1" applyAlignment="1">
      <alignment horizontal="center"/>
    </xf>
    <xf numFmtId="0" fontId="0" fillId="0" borderId="0" xfId="0" applyAlignment="1">
      <alignment vertical="top" wrapText="1"/>
    </xf>
    <xf numFmtId="0" fontId="13" fillId="0" borderId="43" xfId="0" applyFont="1" applyBorder="1" applyAlignment="1">
      <alignment vertical="top" wrapText="1"/>
    </xf>
    <xf numFmtId="0" fontId="14" fillId="0" borderId="43" xfId="0" applyFont="1" applyBorder="1" applyAlignment="1">
      <alignment horizontal="left" vertical="top" wrapText="1"/>
    </xf>
    <xf numFmtId="0" fontId="13" fillId="0" borderId="20" xfId="1" applyFont="1" applyBorder="1" applyAlignment="1">
      <alignment horizontal="center" vertical="top" wrapText="1"/>
    </xf>
    <xf numFmtId="0" fontId="13" fillId="0" borderId="24" xfId="1" applyFont="1" applyBorder="1" applyAlignment="1">
      <alignment horizontal="center" vertical="top" wrapText="1"/>
    </xf>
    <xf numFmtId="0" fontId="13" fillId="0" borderId="28" xfId="1" applyFont="1" applyBorder="1" applyAlignment="1">
      <alignment horizontal="center" vertical="top" wrapText="1"/>
    </xf>
    <xf numFmtId="0" fontId="13" fillId="0" borderId="37" xfId="1" applyFont="1" applyBorder="1" applyAlignment="1">
      <alignment horizontal="center" vertical="top" wrapText="1"/>
    </xf>
    <xf numFmtId="0" fontId="13" fillId="0" borderId="43" xfId="1" applyFont="1" applyBorder="1" applyAlignment="1">
      <alignment horizontal="center" vertical="top" wrapText="1"/>
    </xf>
    <xf numFmtId="0" fontId="14" fillId="0" borderId="37" xfId="0" applyFont="1" applyBorder="1" applyAlignment="1">
      <alignment horizontal="left" vertical="top" wrapText="1"/>
    </xf>
    <xf numFmtId="0" fontId="13" fillId="0" borderId="37" xfId="0" applyFont="1" applyBorder="1" applyAlignment="1">
      <alignment vertical="top" wrapText="1"/>
    </xf>
    <xf numFmtId="0" fontId="14" fillId="3" borderId="0" xfId="0" applyFont="1" applyFill="1" applyAlignment="1">
      <alignment horizontal="left"/>
    </xf>
    <xf numFmtId="0" fontId="39" fillId="4" borderId="0" xfId="0" applyFont="1" applyFill="1" applyAlignment="1">
      <alignment horizontal="left"/>
    </xf>
    <xf numFmtId="0" fontId="13" fillId="0" borderId="27" xfId="0" applyFont="1" applyBorder="1" applyAlignment="1">
      <alignment vertical="top" wrapText="1"/>
    </xf>
    <xf numFmtId="0" fontId="12" fillId="0" borderId="13" xfId="0" applyFont="1" applyBorder="1" applyAlignment="1">
      <alignment horizontal="center" vertical="top" wrapText="1"/>
    </xf>
    <xf numFmtId="0" fontId="0" fillId="3" borderId="0" xfId="0" applyFill="1" applyAlignment="1">
      <alignment vertical="top" wrapText="1"/>
    </xf>
    <xf numFmtId="0" fontId="18" fillId="3" borderId="0" xfId="0" applyFont="1" applyFill="1" applyAlignment="1">
      <alignment horizontal="left"/>
    </xf>
    <xf numFmtId="0" fontId="25" fillId="3" borderId="0" xfId="0" applyFont="1" applyFill="1" applyAlignment="1">
      <alignment horizontal="left"/>
    </xf>
    <xf numFmtId="0" fontId="33" fillId="3" borderId="0" xfId="0" applyFont="1" applyFill="1" applyAlignment="1">
      <alignment horizontal="left"/>
    </xf>
    <xf numFmtId="0" fontId="36" fillId="3" borderId="0" xfId="0" applyFont="1" applyFill="1" applyAlignment="1">
      <alignment horizontal="left"/>
    </xf>
    <xf numFmtId="0" fontId="40" fillId="3" borderId="0" xfId="0" applyFont="1" applyFill="1" applyAlignment="1">
      <alignment horizontal="center"/>
    </xf>
    <xf numFmtId="0" fontId="41" fillId="3" borderId="0" xfId="0" applyFont="1" applyFill="1" applyAlignment="1">
      <alignment horizontal="center"/>
    </xf>
    <xf numFmtId="0" fontId="44" fillId="3" borderId="0" xfId="0" applyFont="1" applyFill="1" applyAlignment="1">
      <alignment horizontal="center"/>
    </xf>
    <xf numFmtId="0" fontId="44" fillId="3" borderId="0" xfId="0" applyFont="1" applyFill="1" applyAlignment="1">
      <alignment horizontal="left"/>
    </xf>
    <xf numFmtId="0" fontId="40" fillId="3" borderId="0" xfId="0" applyFont="1" applyFill="1" applyAlignment="1">
      <alignment horizontal="left"/>
    </xf>
    <xf numFmtId="0" fontId="41" fillId="3" borderId="0" xfId="0" applyFont="1" applyFill="1" applyAlignment="1">
      <alignment horizontal="left"/>
    </xf>
    <xf numFmtId="0" fontId="14" fillId="0" borderId="43" xfId="0" applyFont="1" applyBorder="1" applyAlignment="1">
      <alignment vertical="top" wrapText="1"/>
    </xf>
    <xf numFmtId="0" fontId="14" fillId="0" borderId="31" xfId="0" applyFont="1" applyBorder="1" applyAlignment="1">
      <alignment vertical="top" wrapText="1"/>
    </xf>
    <xf numFmtId="0" fontId="41" fillId="0" borderId="13" xfId="0" applyFont="1" applyBorder="1" applyAlignment="1">
      <alignment horizontal="center" vertical="center" wrapText="1"/>
    </xf>
    <xf numFmtId="0" fontId="49" fillId="3" borderId="0" xfId="0" applyFont="1" applyFill="1"/>
    <xf numFmtId="0" fontId="49" fillId="0" borderId="0" xfId="0" applyFont="1"/>
    <xf numFmtId="0" fontId="49" fillId="3" borderId="0" xfId="0" applyFont="1" applyFill="1" applyAlignment="1">
      <alignment horizontal="center"/>
    </xf>
    <xf numFmtId="0" fontId="49" fillId="3" borderId="0" xfId="0" applyFont="1" applyFill="1" applyAlignment="1">
      <alignment horizontal="center" wrapText="1"/>
    </xf>
    <xf numFmtId="0" fontId="49" fillId="3" borderId="2" xfId="0" applyFont="1" applyFill="1" applyBorder="1" applyAlignment="1">
      <alignment horizontal="center"/>
    </xf>
    <xf numFmtId="0" fontId="49" fillId="3" borderId="3" xfId="0" applyFont="1" applyFill="1" applyBorder="1" applyAlignment="1">
      <alignment horizontal="center"/>
    </xf>
    <xf numFmtId="0" fontId="14" fillId="0" borderId="0" xfId="0" applyFont="1" applyAlignment="1">
      <alignment vertical="top" wrapText="1"/>
    </xf>
    <xf numFmtId="0" fontId="41" fillId="0" borderId="14" xfId="0" applyFont="1" applyBorder="1" applyAlignment="1">
      <alignment horizontal="center" vertical="center" wrapText="1"/>
    </xf>
    <xf numFmtId="0" fontId="18" fillId="3" borderId="0" xfId="0" applyFont="1" applyFill="1" applyAlignment="1">
      <alignment horizontal="left" vertical="center"/>
    </xf>
    <xf numFmtId="0" fontId="12" fillId="0" borderId="44"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45" xfId="0" applyFont="1" applyBorder="1" applyAlignment="1">
      <alignment horizontal="left" vertical="center" wrapText="1"/>
    </xf>
    <xf numFmtId="0" fontId="12" fillId="0" borderId="45" xfId="0" applyFont="1" applyBorder="1" applyAlignment="1">
      <alignment horizontal="center" vertical="top" wrapText="1"/>
    </xf>
    <xf numFmtId="0" fontId="41" fillId="0" borderId="45" xfId="0" applyFont="1" applyBorder="1" applyAlignment="1">
      <alignment horizontal="center" vertical="center" wrapText="1"/>
    </xf>
    <xf numFmtId="0" fontId="41" fillId="0" borderId="46" xfId="0" applyFont="1" applyBorder="1" applyAlignment="1">
      <alignment horizontal="center" vertical="center" wrapText="1"/>
    </xf>
    <xf numFmtId="0" fontId="18" fillId="3" borderId="0" xfId="0" applyFont="1" applyFill="1" applyAlignment="1">
      <alignment horizontal="left" vertical="center" wrapText="1"/>
    </xf>
    <xf numFmtId="0" fontId="36" fillId="3" borderId="0" xfId="0" applyFont="1" applyFill="1" applyAlignment="1">
      <alignment horizontal="left" vertical="center" wrapText="1"/>
    </xf>
    <xf numFmtId="0" fontId="22" fillId="3" borderId="0" xfId="0" applyFont="1" applyFill="1" applyAlignment="1">
      <alignment horizontal="left" vertical="center" wrapText="1"/>
    </xf>
    <xf numFmtId="0" fontId="33" fillId="3" borderId="0" xfId="0" applyFont="1" applyFill="1" applyAlignment="1">
      <alignment horizontal="left" vertical="center" wrapText="1"/>
    </xf>
    <xf numFmtId="0" fontId="44" fillId="3" borderId="0" xfId="0" applyFont="1" applyFill="1" applyAlignment="1">
      <alignment horizontal="left" vertical="center" wrapText="1"/>
    </xf>
    <xf numFmtId="0" fontId="29" fillId="3" borderId="0" xfId="0" applyFont="1" applyFill="1" applyAlignment="1">
      <alignment horizontal="left" vertical="center" wrapText="1"/>
    </xf>
    <xf numFmtId="0" fontId="25" fillId="3" borderId="0" xfId="0" applyFont="1" applyFill="1" applyAlignment="1">
      <alignment horizontal="left" vertical="center" wrapText="1"/>
    </xf>
    <xf numFmtId="0" fontId="0" fillId="0" borderId="0" xfId="0" applyAlignment="1">
      <alignment vertical="center" wrapText="1"/>
    </xf>
    <xf numFmtId="0" fontId="9" fillId="3" borderId="0" xfId="0" applyFont="1" applyFill="1" applyAlignment="1">
      <alignment horizontal="center" vertical="center"/>
    </xf>
    <xf numFmtId="0" fontId="36" fillId="3" borderId="0" xfId="0" applyFont="1" applyFill="1" applyAlignment="1">
      <alignment horizontal="left" vertical="center"/>
    </xf>
    <xf numFmtId="0" fontId="22" fillId="3" borderId="0" xfId="0" applyFont="1" applyFill="1" applyAlignment="1">
      <alignment horizontal="left" vertical="center"/>
    </xf>
    <xf numFmtId="0" fontId="33" fillId="3" borderId="0" xfId="0" applyFont="1" applyFill="1" applyAlignment="1">
      <alignment horizontal="left" vertical="center"/>
    </xf>
    <xf numFmtId="0" fontId="44" fillId="3" borderId="0" xfId="0" applyFont="1" applyFill="1" applyAlignment="1">
      <alignment horizontal="left" vertical="center"/>
    </xf>
    <xf numFmtId="0" fontId="29" fillId="3" borderId="0" xfId="0" applyFont="1" applyFill="1" applyAlignment="1">
      <alignment horizontal="left" vertical="center"/>
    </xf>
    <xf numFmtId="0" fontId="25" fillId="3" borderId="0" xfId="0" applyFont="1" applyFill="1" applyAlignment="1">
      <alignment horizontal="left" vertical="center"/>
    </xf>
    <xf numFmtId="0" fontId="0" fillId="0" borderId="0" xfId="0" applyAlignment="1">
      <alignment vertical="center"/>
    </xf>
    <xf numFmtId="0" fontId="9" fillId="3" borderId="0" xfId="0" applyFont="1" applyFill="1" applyAlignment="1">
      <alignment vertical="center" wrapText="1"/>
    </xf>
    <xf numFmtId="0" fontId="9" fillId="3" borderId="0" xfId="0" applyFont="1" applyFill="1" applyAlignment="1">
      <alignment horizontal="left" vertical="center"/>
    </xf>
    <xf numFmtId="0" fontId="14" fillId="3" borderId="0" xfId="0" applyFont="1" applyFill="1" applyAlignment="1">
      <alignment horizontal="left" vertical="center"/>
    </xf>
    <xf numFmtId="0" fontId="14" fillId="3" borderId="0" xfId="0" applyFont="1" applyFill="1" applyAlignment="1">
      <alignment horizontal="left" vertical="center" wrapText="1"/>
    </xf>
    <xf numFmtId="0" fontId="9" fillId="3" borderId="0" xfId="0" applyFont="1" applyFill="1" applyAlignment="1">
      <alignment vertical="center"/>
    </xf>
    <xf numFmtId="0" fontId="50" fillId="3" borderId="0" xfId="0" applyFont="1" applyFill="1" applyAlignment="1">
      <alignment horizontal="center" vertical="center"/>
    </xf>
    <xf numFmtId="0" fontId="50" fillId="3" borderId="0" xfId="0" applyFont="1" applyFill="1" applyAlignment="1">
      <alignment vertical="center"/>
    </xf>
    <xf numFmtId="0" fontId="48" fillId="3" borderId="0" xfId="0" applyFont="1" applyFill="1" applyAlignment="1">
      <alignment horizontal="left" vertical="center"/>
    </xf>
    <xf numFmtId="0" fontId="49" fillId="0" borderId="0" xfId="0" applyFont="1" applyAlignment="1">
      <alignment vertical="center"/>
    </xf>
    <xf numFmtId="0" fontId="18" fillId="3" borderId="0" xfId="0" applyFont="1" applyFill="1" applyAlignment="1">
      <alignment horizontal="center" vertical="center"/>
    </xf>
    <xf numFmtId="0" fontId="36" fillId="3" borderId="0" xfId="0" applyFont="1" applyFill="1" applyAlignment="1">
      <alignment horizontal="center" vertical="center"/>
    </xf>
    <xf numFmtId="0" fontId="22" fillId="3" borderId="0" xfId="0" applyFont="1" applyFill="1" applyAlignment="1">
      <alignment horizontal="center" vertical="center"/>
    </xf>
    <xf numFmtId="0" fontId="33" fillId="3" borderId="0" xfId="0" applyFont="1" applyFill="1" applyAlignment="1">
      <alignment horizontal="center" vertical="center"/>
    </xf>
    <xf numFmtId="0" fontId="44" fillId="3" borderId="0" xfId="0" applyFont="1" applyFill="1" applyAlignment="1">
      <alignment horizontal="center" vertical="center"/>
    </xf>
    <xf numFmtId="0" fontId="29" fillId="3" borderId="0" xfId="0" applyFont="1" applyFill="1" applyAlignment="1">
      <alignment horizontal="center" vertical="center"/>
    </xf>
    <xf numFmtId="0" fontId="25" fillId="3" borderId="0" xfId="0" applyFont="1" applyFill="1" applyAlignment="1">
      <alignment horizontal="center" vertical="center"/>
    </xf>
    <xf numFmtId="0" fontId="50" fillId="3" borderId="0" xfId="0" applyFont="1" applyFill="1" applyAlignment="1">
      <alignment horizontal="center" vertical="center" wrapText="1"/>
    </xf>
    <xf numFmtId="0" fontId="48" fillId="3" borderId="0" xfId="0" applyFont="1" applyFill="1" applyAlignment="1">
      <alignment horizontal="left" vertical="center" wrapText="1"/>
    </xf>
    <xf numFmtId="0" fontId="49" fillId="0" borderId="0" xfId="0" applyFont="1" applyAlignment="1">
      <alignment vertical="center" wrapText="1"/>
    </xf>
    <xf numFmtId="0" fontId="9" fillId="3" borderId="0" xfId="0" applyFont="1" applyFill="1" applyAlignment="1">
      <alignment horizontal="left" vertical="center" wrapText="1"/>
    </xf>
    <xf numFmtId="0" fontId="0" fillId="0" borderId="0" xfId="0" applyAlignment="1">
      <alignment horizontal="left" vertical="center" wrapText="1"/>
    </xf>
    <xf numFmtId="0" fontId="50" fillId="3" borderId="0" xfId="0" applyFont="1" applyFill="1" applyAlignment="1">
      <alignment horizontal="left" vertical="center"/>
    </xf>
    <xf numFmtId="0" fontId="50" fillId="3" borderId="0" xfId="0" applyFont="1" applyFill="1" applyAlignment="1">
      <alignment horizontal="left" vertical="center" wrapText="1"/>
    </xf>
    <xf numFmtId="0" fontId="51" fillId="3" borderId="1" xfId="0" applyFont="1" applyFill="1" applyBorder="1" applyAlignment="1">
      <alignment vertical="center" wrapText="1"/>
    </xf>
    <xf numFmtId="0" fontId="52" fillId="3" borderId="4" xfId="0" applyFont="1" applyFill="1" applyBorder="1" applyAlignment="1">
      <alignment vertical="center" wrapText="1"/>
    </xf>
    <xf numFmtId="0" fontId="52" fillId="3" borderId="7" xfId="0" applyFont="1" applyFill="1" applyBorder="1" applyAlignment="1">
      <alignment vertical="center" wrapText="1"/>
    </xf>
    <xf numFmtId="0" fontId="53" fillId="3" borderId="38" xfId="0" applyFont="1" applyFill="1" applyBorder="1" applyAlignment="1">
      <alignment vertical="center" wrapText="1"/>
    </xf>
    <xf numFmtId="0" fontId="54" fillId="3" borderId="10" xfId="0" applyFont="1" applyFill="1" applyBorder="1" applyAlignment="1">
      <alignment vertical="center" wrapText="1"/>
    </xf>
    <xf numFmtId="0" fontId="54" fillId="3" borderId="7" xfId="0" applyFont="1" applyFill="1" applyBorder="1" applyAlignment="1">
      <alignment vertical="center" wrapText="1"/>
    </xf>
    <xf numFmtId="0" fontId="55" fillId="3" borderId="39" xfId="0" applyFont="1" applyFill="1" applyBorder="1" applyAlignment="1">
      <alignment vertical="center" wrapText="1"/>
    </xf>
    <xf numFmtId="0" fontId="56" fillId="3" borderId="4" xfId="0" applyFont="1" applyFill="1" applyBorder="1" applyAlignment="1">
      <alignment vertical="center" wrapText="1"/>
    </xf>
    <xf numFmtId="0" fontId="56" fillId="3" borderId="10" xfId="0" applyFont="1" applyFill="1" applyBorder="1" applyAlignment="1">
      <alignment vertical="center" wrapText="1"/>
    </xf>
    <xf numFmtId="0" fontId="56" fillId="3" borderId="7" xfId="0" applyFont="1" applyFill="1" applyBorder="1" applyAlignment="1">
      <alignment vertical="center" wrapText="1"/>
    </xf>
    <xf numFmtId="0" fontId="57" fillId="3" borderId="1" xfId="0" applyFont="1" applyFill="1" applyBorder="1" applyAlignment="1">
      <alignment vertical="center" wrapText="1"/>
    </xf>
    <xf numFmtId="0" fontId="58" fillId="3" borderId="4" xfId="0" applyFont="1" applyFill="1" applyBorder="1" applyAlignment="1">
      <alignment vertical="center" wrapText="1"/>
    </xf>
    <xf numFmtId="0" fontId="58" fillId="3" borderId="7" xfId="0" applyFont="1" applyFill="1" applyBorder="1" applyAlignment="1">
      <alignment vertical="center" wrapText="1"/>
    </xf>
    <xf numFmtId="0" fontId="59" fillId="3" borderId="39" xfId="0" applyFont="1" applyFill="1" applyBorder="1" applyAlignment="1">
      <alignment vertical="center" wrapText="1"/>
    </xf>
    <xf numFmtId="0" fontId="60" fillId="3" borderId="4" xfId="0" applyFont="1" applyFill="1" applyBorder="1" applyAlignment="1">
      <alignment vertical="center" wrapText="1"/>
    </xf>
    <xf numFmtId="0" fontId="60" fillId="3" borderId="7" xfId="0" applyFont="1" applyFill="1" applyBorder="1" applyAlignment="1">
      <alignment vertical="center" wrapText="1"/>
    </xf>
    <xf numFmtId="0" fontId="61" fillId="3" borderId="39" xfId="0" applyFont="1" applyFill="1" applyBorder="1" applyAlignment="1">
      <alignment vertical="center" wrapText="1"/>
    </xf>
    <xf numFmtId="0" fontId="62" fillId="3" borderId="4" xfId="0" applyFont="1" applyFill="1" applyBorder="1" applyAlignment="1">
      <alignment vertical="center" wrapText="1"/>
    </xf>
    <xf numFmtId="0" fontId="62" fillId="3" borderId="10" xfId="0" applyFont="1" applyFill="1" applyBorder="1" applyAlignment="1">
      <alignment vertical="center" wrapText="1"/>
    </xf>
    <xf numFmtId="0" fontId="62" fillId="3" borderId="7" xfId="0" applyFont="1" applyFill="1" applyBorder="1" applyAlignment="1">
      <alignment vertical="center" wrapText="1"/>
    </xf>
    <xf numFmtId="0" fontId="63" fillId="3" borderId="38" xfId="0" applyFont="1" applyFill="1" applyBorder="1" applyAlignment="1">
      <alignment vertical="center" wrapText="1"/>
    </xf>
    <xf numFmtId="0" fontId="64" fillId="3" borderId="10" xfId="0" applyFont="1" applyFill="1" applyBorder="1" applyAlignment="1">
      <alignment vertical="center" wrapText="1"/>
    </xf>
    <xf numFmtId="0" fontId="64" fillId="3" borderId="7" xfId="0" applyFont="1" applyFill="1" applyBorder="1" applyAlignment="1">
      <alignment vertical="center" wrapText="1"/>
    </xf>
    <xf numFmtId="0" fontId="48" fillId="3" borderId="5" xfId="0" applyFont="1" applyFill="1" applyBorder="1" applyAlignment="1" applyProtection="1">
      <alignment horizontal="center"/>
      <protection locked="0"/>
    </xf>
    <xf numFmtId="0" fontId="48" fillId="3" borderId="6" xfId="0" applyFont="1" applyFill="1" applyBorder="1" applyAlignment="1" applyProtection="1">
      <alignment horizontal="center"/>
      <protection locked="0"/>
    </xf>
    <xf numFmtId="0" fontId="48" fillId="3" borderId="8" xfId="0" applyFont="1" applyFill="1" applyBorder="1" applyAlignment="1" applyProtection="1">
      <alignment horizontal="center"/>
      <protection locked="0"/>
    </xf>
    <xf numFmtId="0" fontId="48" fillId="3" borderId="9" xfId="0" applyFont="1" applyFill="1" applyBorder="1" applyAlignment="1" applyProtection="1">
      <alignment horizontal="center"/>
      <protection locked="0"/>
    </xf>
    <xf numFmtId="0" fontId="48" fillId="3" borderId="40" xfId="0" applyFont="1" applyFill="1" applyBorder="1" applyAlignment="1" applyProtection="1">
      <alignment horizontal="center"/>
      <protection locked="0"/>
    </xf>
    <xf numFmtId="0" fontId="48" fillId="3" borderId="41" xfId="0" applyFont="1" applyFill="1" applyBorder="1" applyAlignment="1" applyProtection="1">
      <alignment horizontal="center"/>
      <protection locked="0"/>
    </xf>
    <xf numFmtId="0" fontId="48" fillId="3" borderId="11" xfId="0" applyFont="1" applyFill="1" applyBorder="1" applyAlignment="1" applyProtection="1">
      <alignment horizontal="center"/>
      <protection locked="0"/>
    </xf>
    <xf numFmtId="0" fontId="48" fillId="3" borderId="2" xfId="0" applyFont="1" applyFill="1" applyBorder="1" applyAlignment="1" applyProtection="1">
      <alignment horizontal="center"/>
      <protection locked="0"/>
    </xf>
    <xf numFmtId="0" fontId="48" fillId="3" borderId="0" xfId="0" applyFont="1" applyFill="1" applyAlignment="1" applyProtection="1">
      <alignment horizontal="center"/>
      <protection locked="0"/>
    </xf>
    <xf numFmtId="0" fontId="2" fillId="2" borderId="0" xfId="0" applyFont="1" applyFill="1" applyAlignment="1" applyProtection="1">
      <alignment horizontal="center"/>
      <protection locked="0"/>
    </xf>
    <xf numFmtId="0" fontId="1" fillId="2" borderId="0" xfId="0" applyFont="1" applyFill="1" applyAlignment="1" applyProtection="1">
      <alignment horizontal="center" vertical="top"/>
      <protection locked="0"/>
    </xf>
    <xf numFmtId="0" fontId="4" fillId="3" borderId="0" xfId="0" applyFont="1" applyFill="1" applyAlignment="1">
      <alignment horizontal="left" vertical="top" wrapText="1"/>
    </xf>
    <xf numFmtId="0" fontId="8" fillId="3" borderId="0" xfId="0" applyFont="1" applyFill="1" applyAlignment="1">
      <alignment horizontal="left" vertical="top" wrapText="1"/>
    </xf>
    <xf numFmtId="0" fontId="3" fillId="3" borderId="0" xfId="0" applyFont="1" applyFill="1" applyAlignment="1">
      <alignment horizontal="left" wrapText="1"/>
    </xf>
    <xf numFmtId="0" fontId="6" fillId="3" borderId="0" xfId="0" applyFont="1" applyFill="1" applyAlignment="1">
      <alignment horizontal="left" vertical="top" wrapText="1"/>
    </xf>
    <xf numFmtId="0" fontId="22" fillId="0" borderId="23" xfId="0" applyFont="1" applyBorder="1" applyAlignment="1">
      <alignment horizontal="center" vertical="top" wrapText="1"/>
    </xf>
    <xf numFmtId="0" fontId="22" fillId="0" borderId="27" xfId="0" applyFont="1" applyBorder="1" applyAlignment="1">
      <alignment horizontal="center" vertical="top" wrapText="1"/>
    </xf>
    <xf numFmtId="0" fontId="13" fillId="0" borderId="23" xfId="1" applyFont="1" applyBorder="1" applyAlignment="1">
      <alignment vertical="top" wrapText="1"/>
    </xf>
    <xf numFmtId="0" fontId="13" fillId="0" borderId="27" xfId="1" applyFont="1" applyBorder="1" applyAlignment="1">
      <alignment vertical="top" wrapText="1"/>
    </xf>
    <xf numFmtId="0" fontId="47" fillId="0" borderId="23" xfId="0" applyFont="1" applyBorder="1" applyAlignment="1">
      <alignment horizontal="center" vertical="center"/>
    </xf>
    <xf numFmtId="0" fontId="47" fillId="0" borderId="27" xfId="0" applyFont="1" applyBorder="1" applyAlignment="1">
      <alignment horizontal="center" vertical="center"/>
    </xf>
    <xf numFmtId="0" fontId="48" fillId="0" borderId="23" xfId="0" applyFont="1" applyBorder="1" applyAlignment="1">
      <alignment horizontal="center" vertical="center" wrapText="1"/>
    </xf>
    <xf numFmtId="0" fontId="48" fillId="0" borderId="27" xfId="0" applyFont="1" applyBorder="1" applyAlignment="1">
      <alignment horizontal="center" vertical="center" wrapText="1"/>
    </xf>
    <xf numFmtId="0" fontId="48" fillId="0" borderId="25" xfId="0" applyFont="1" applyBorder="1" applyAlignment="1">
      <alignment horizontal="center" vertical="center" wrapText="1"/>
    </xf>
    <xf numFmtId="0" fontId="48" fillId="0" borderId="29" xfId="0" applyFont="1" applyBorder="1" applyAlignment="1">
      <alignment horizontal="center" vertical="center" wrapText="1"/>
    </xf>
    <xf numFmtId="0" fontId="27" fillId="0" borderId="18" xfId="0" applyFont="1" applyBorder="1" applyAlignment="1">
      <alignment horizontal="center" vertical="top" wrapText="1"/>
    </xf>
    <xf numFmtId="0" fontId="27" fillId="0" borderId="22" xfId="0" applyFont="1" applyBorder="1" applyAlignment="1">
      <alignment horizontal="center" vertical="top" wrapText="1"/>
    </xf>
    <xf numFmtId="0" fontId="27" fillId="0" borderId="26" xfId="0" applyFont="1" applyBorder="1" applyAlignment="1">
      <alignment horizontal="center" vertical="top" wrapText="1"/>
    </xf>
    <xf numFmtId="0" fontId="27" fillId="0" borderId="19" xfId="0" applyFont="1" applyBorder="1" applyAlignment="1">
      <alignment horizontal="center" vertical="top" wrapText="1"/>
    </xf>
    <xf numFmtId="0" fontId="27" fillId="0" borderId="23" xfId="0" applyFont="1" applyBorder="1" applyAlignment="1">
      <alignment horizontal="center" vertical="top" wrapText="1"/>
    </xf>
    <xf numFmtId="0" fontId="27" fillId="0" borderId="27" xfId="0" applyFont="1" applyBorder="1" applyAlignment="1">
      <alignment horizontal="center" vertical="top" wrapText="1"/>
    </xf>
    <xf numFmtId="0" fontId="29" fillId="0" borderId="19" xfId="0" applyFont="1" applyBorder="1" applyAlignment="1">
      <alignment horizontal="center" vertical="top" wrapText="1"/>
    </xf>
    <xf numFmtId="0" fontId="29" fillId="0" borderId="23" xfId="0" applyFont="1" applyBorder="1" applyAlignment="1">
      <alignment horizontal="center" vertical="top" wrapText="1"/>
    </xf>
    <xf numFmtId="0" fontId="29" fillId="0" borderId="27" xfId="0" applyFont="1" applyBorder="1" applyAlignment="1">
      <alignment horizontal="center" vertical="top" wrapText="1"/>
    </xf>
    <xf numFmtId="0" fontId="13" fillId="0" borderId="19" xfId="1" applyFont="1" applyBorder="1" applyAlignment="1">
      <alignment vertical="top" wrapText="1"/>
    </xf>
    <xf numFmtId="0" fontId="13" fillId="0" borderId="19" xfId="1" applyFont="1" applyBorder="1" applyAlignment="1">
      <alignment horizontal="center" vertical="top" wrapText="1"/>
    </xf>
    <xf numFmtId="0" fontId="13" fillId="0" borderId="23" xfId="1" applyFont="1" applyBorder="1" applyAlignment="1">
      <alignment horizontal="center" vertical="top" wrapText="1"/>
    </xf>
    <xf numFmtId="0" fontId="13" fillId="0" borderId="27" xfId="1" applyFont="1" applyBorder="1" applyAlignment="1">
      <alignment horizontal="center" vertical="top" wrapText="1"/>
    </xf>
    <xf numFmtId="0" fontId="47" fillId="0" borderId="19" xfId="0" applyFont="1" applyBorder="1" applyAlignment="1">
      <alignment horizontal="center" vertical="center"/>
    </xf>
    <xf numFmtId="0" fontId="48" fillId="0" borderId="19"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7" xfId="0" applyFont="1" applyBorder="1" applyAlignment="1">
      <alignment horizontal="center" vertical="center" wrapText="1"/>
    </xf>
    <xf numFmtId="0" fontId="48" fillId="0" borderId="21" xfId="0" applyFont="1" applyBorder="1" applyAlignment="1">
      <alignment horizontal="center" vertical="center" wrapText="1"/>
    </xf>
    <xf numFmtId="0" fontId="20" fillId="0" borderId="18" xfId="0" applyFont="1" applyBorder="1" applyAlignment="1">
      <alignment horizontal="center" vertical="top" wrapText="1"/>
    </xf>
    <xf numFmtId="0" fontId="20" fillId="0" borderId="22" xfId="0" applyFont="1" applyBorder="1" applyAlignment="1">
      <alignment horizontal="center" vertical="top" wrapText="1"/>
    </xf>
    <xf numFmtId="0" fontId="20" fillId="0" borderId="26" xfId="0" applyFont="1" applyBorder="1" applyAlignment="1">
      <alignment horizontal="center" vertical="top" wrapText="1"/>
    </xf>
    <xf numFmtId="0" fontId="21" fillId="0" borderId="19" xfId="0" applyFont="1" applyBorder="1" applyAlignment="1">
      <alignment horizontal="center" vertical="top" wrapText="1"/>
    </xf>
    <xf numFmtId="0" fontId="20" fillId="0" borderId="23" xfId="0" applyFont="1" applyBorder="1" applyAlignment="1">
      <alignment horizontal="center" vertical="top" wrapText="1"/>
    </xf>
    <xf numFmtId="0" fontId="20" fillId="0" borderId="27" xfId="0" applyFont="1" applyBorder="1" applyAlignment="1">
      <alignment horizontal="center" vertical="top" wrapText="1"/>
    </xf>
    <xf numFmtId="0" fontId="22" fillId="0" borderId="19" xfId="0" applyFont="1" applyBorder="1" applyAlignment="1">
      <alignment horizontal="center" vertical="top" wrapText="1"/>
    </xf>
    <xf numFmtId="0" fontId="14" fillId="0" borderId="31" xfId="0" applyFont="1" applyBorder="1" applyAlignment="1">
      <alignment horizontal="center" vertical="center" wrapText="1"/>
    </xf>
    <xf numFmtId="0" fontId="48" fillId="0" borderId="35" xfId="0" applyFont="1" applyBorder="1" applyAlignment="1">
      <alignment horizontal="center" vertical="center" wrapText="1"/>
    </xf>
    <xf numFmtId="0" fontId="48" fillId="0" borderId="36" xfId="0" applyFont="1" applyBorder="1" applyAlignment="1">
      <alignment horizontal="center" vertical="center" wrapText="1"/>
    </xf>
    <xf numFmtId="0" fontId="16" fillId="0" borderId="18" xfId="0" applyFont="1" applyBorder="1" applyAlignment="1">
      <alignment horizontal="center" vertical="top" wrapText="1"/>
    </xf>
    <xf numFmtId="0" fontId="16" fillId="0" borderId="22" xfId="0" applyFont="1" applyBorder="1" applyAlignment="1">
      <alignment horizontal="center" vertical="top" wrapText="1"/>
    </xf>
    <xf numFmtId="0" fontId="16" fillId="0" borderId="19" xfId="0" applyFont="1" applyBorder="1" applyAlignment="1">
      <alignment horizontal="center" vertical="top" wrapText="1"/>
    </xf>
    <xf numFmtId="0" fontId="16" fillId="0" borderId="23" xfId="0" applyFont="1" applyBorder="1" applyAlignment="1">
      <alignment horizontal="center" vertical="top" wrapText="1"/>
    </xf>
    <xf numFmtId="0" fontId="18" fillId="0" borderId="30" xfId="0" applyFont="1" applyBorder="1" applyAlignment="1">
      <alignment horizontal="center" vertical="top" wrapText="1"/>
    </xf>
    <xf numFmtId="0" fontId="18" fillId="0" borderId="23" xfId="0" applyFont="1" applyBorder="1" applyAlignment="1">
      <alignment horizontal="center" vertical="top" wrapText="1"/>
    </xf>
    <xf numFmtId="0" fontId="18" fillId="0" borderId="31" xfId="0" applyFont="1" applyBorder="1" applyAlignment="1">
      <alignment horizontal="center" vertical="top" wrapText="1"/>
    </xf>
    <xf numFmtId="0" fontId="13" fillId="0" borderId="30" xfId="1" applyFont="1" applyBorder="1" applyAlignment="1">
      <alignment horizontal="left" vertical="top" wrapText="1"/>
    </xf>
    <xf numFmtId="0" fontId="13" fillId="0" borderId="23" xfId="1" applyFont="1" applyBorder="1" applyAlignment="1">
      <alignment horizontal="left" vertical="top" wrapText="1"/>
    </xf>
    <xf numFmtId="0" fontId="13" fillId="0" borderId="31" xfId="1" applyFont="1" applyBorder="1" applyAlignment="1">
      <alignment horizontal="left" vertical="top" wrapText="1"/>
    </xf>
    <xf numFmtId="0" fontId="16" fillId="0" borderId="30" xfId="0" applyFont="1" applyBorder="1" applyAlignment="1">
      <alignment horizontal="center" vertical="top" wrapText="1"/>
    </xf>
    <xf numFmtId="0" fontId="16" fillId="0" borderId="31" xfId="0" applyFont="1" applyBorder="1" applyAlignment="1">
      <alignment horizontal="center" vertical="top" wrapText="1"/>
    </xf>
    <xf numFmtId="0" fontId="16" fillId="0" borderId="32" xfId="0" applyFont="1" applyBorder="1" applyAlignment="1">
      <alignment horizontal="center" vertical="top" wrapText="1"/>
    </xf>
    <xf numFmtId="0" fontId="20" fillId="0" borderId="19" xfId="0" applyFont="1" applyBorder="1" applyAlignment="1">
      <alignment horizontal="center" vertical="top" wrapText="1"/>
    </xf>
    <xf numFmtId="0" fontId="19" fillId="0" borderId="15" xfId="0" applyFont="1" applyBorder="1" applyAlignment="1">
      <alignment horizontal="center" vertical="top" wrapText="1"/>
    </xf>
    <xf numFmtId="0" fontId="19" fillId="0" borderId="16" xfId="0" applyFont="1" applyBorder="1" applyAlignment="1">
      <alignment horizontal="center" vertical="top" wrapText="1"/>
    </xf>
    <xf numFmtId="0" fontId="19" fillId="0" borderId="34" xfId="0" applyFont="1" applyBorder="1" applyAlignment="1">
      <alignment horizontal="center" vertical="top" wrapText="1"/>
    </xf>
    <xf numFmtId="0" fontId="19" fillId="0" borderId="17" xfId="0" applyFont="1" applyBorder="1" applyAlignment="1">
      <alignment horizontal="center" vertical="top" wrapText="1"/>
    </xf>
    <xf numFmtId="0" fontId="21" fillId="0" borderId="23" xfId="0" applyFont="1" applyBorder="1" applyAlignment="1">
      <alignment horizontal="center" vertical="top" wrapText="1"/>
    </xf>
    <xf numFmtId="0" fontId="18" fillId="0" borderId="19" xfId="0" applyFont="1" applyBorder="1" applyAlignment="1">
      <alignment horizontal="center" vertical="top" wrapText="1"/>
    </xf>
    <xf numFmtId="0" fontId="48" fillId="0" borderId="30" xfId="0" applyFont="1" applyBorder="1" applyAlignment="1">
      <alignment horizontal="center" vertical="center" wrapText="1"/>
    </xf>
    <xf numFmtId="0" fontId="48" fillId="0" borderId="31" xfId="0" applyFont="1" applyBorder="1" applyAlignment="1">
      <alignment horizontal="center" vertical="center" wrapText="1"/>
    </xf>
    <xf numFmtId="0" fontId="13" fillId="0" borderId="30" xfId="1" applyFont="1" applyBorder="1" applyAlignment="1">
      <alignment horizontal="center" vertical="top" wrapText="1"/>
    </xf>
    <xf numFmtId="0" fontId="13" fillId="0" borderId="31" xfId="1" applyFont="1" applyBorder="1" applyAlignment="1">
      <alignment horizontal="center" vertical="top" wrapText="1"/>
    </xf>
    <xf numFmtId="0" fontId="18" fillId="0" borderId="27" xfId="0" applyFont="1" applyBorder="1" applyAlignment="1">
      <alignment horizontal="center" vertical="top" wrapText="1"/>
    </xf>
    <xf numFmtId="0" fontId="15" fillId="0" borderId="15" xfId="0" applyFont="1" applyBorder="1" applyAlignment="1">
      <alignment horizontal="center" vertical="top" wrapText="1"/>
    </xf>
    <xf numFmtId="0" fontId="15" fillId="0" borderId="16" xfId="0" applyFont="1" applyBorder="1" applyAlignment="1">
      <alignment horizontal="center" vertical="top" wrapText="1"/>
    </xf>
    <xf numFmtId="0" fontId="15" fillId="0" borderId="34" xfId="0" applyFont="1" applyBorder="1" applyAlignment="1">
      <alignment horizontal="center" vertical="top" wrapText="1"/>
    </xf>
    <xf numFmtId="0" fontId="15" fillId="0" borderId="17" xfId="0" applyFont="1" applyBorder="1" applyAlignment="1">
      <alignment horizontal="center" vertical="top" wrapText="1"/>
    </xf>
    <xf numFmtId="0" fontId="16" fillId="0" borderId="26" xfId="0" applyFont="1" applyBorder="1" applyAlignment="1">
      <alignment horizontal="center" vertical="top" wrapText="1"/>
    </xf>
    <xf numFmtId="0" fontId="17" fillId="0" borderId="19" xfId="0" applyFont="1" applyBorder="1" applyAlignment="1">
      <alignment horizontal="center" vertical="top" wrapText="1"/>
    </xf>
    <xf numFmtId="0" fontId="16" fillId="0" borderId="27" xfId="0" applyFont="1" applyBorder="1" applyAlignment="1">
      <alignment horizontal="center" vertical="top" wrapText="1"/>
    </xf>
    <xf numFmtId="0" fontId="14" fillId="0" borderId="30" xfId="0" applyFont="1" applyBorder="1" applyAlignment="1">
      <alignment horizontal="center" vertical="center" wrapText="1"/>
    </xf>
    <xf numFmtId="0" fontId="13" fillId="0" borderId="19" xfId="1" applyFont="1" applyBorder="1" applyAlignment="1">
      <alignment horizontal="left" vertical="top" wrapText="1"/>
    </xf>
    <xf numFmtId="0" fontId="35" fillId="0" borderId="44" xfId="0" applyFont="1" applyBorder="1" applyAlignment="1">
      <alignment horizontal="center" vertical="top" wrapText="1"/>
    </xf>
    <xf numFmtId="0" fontId="35" fillId="0" borderId="45" xfId="0" applyFont="1" applyBorder="1" applyAlignment="1">
      <alignment horizontal="center" vertical="top" wrapText="1"/>
    </xf>
    <xf numFmtId="0" fontId="35" fillId="0" borderId="46" xfId="0" applyFont="1" applyBorder="1" applyAlignment="1">
      <alignment horizontal="center" vertical="top" wrapText="1"/>
    </xf>
    <xf numFmtId="0" fontId="34" fillId="0" borderId="15" xfId="0" applyFont="1" applyBorder="1" applyAlignment="1">
      <alignment horizontal="center" vertical="top" wrapText="1"/>
    </xf>
    <xf numFmtId="0" fontId="34" fillId="0" borderId="16" xfId="0" applyFont="1" applyBorder="1" applyAlignment="1">
      <alignment horizontal="center" vertical="top" wrapText="1"/>
    </xf>
    <xf numFmtId="0" fontId="34" fillId="0" borderId="34" xfId="0" applyFont="1" applyBorder="1" applyAlignment="1">
      <alignment horizontal="center" vertical="top" wrapText="1"/>
    </xf>
    <xf numFmtId="0" fontId="34" fillId="0" borderId="17" xfId="0" applyFont="1" applyBorder="1" applyAlignment="1">
      <alignment horizontal="center" vertical="top" wrapText="1"/>
    </xf>
    <xf numFmtId="0" fontId="31" fillId="0" borderId="22" xfId="0" applyFont="1" applyBorder="1" applyAlignment="1">
      <alignment horizontal="center" vertical="top" wrapText="1"/>
    </xf>
    <xf numFmtId="0" fontId="31" fillId="0" borderId="26" xfId="0" applyFont="1" applyBorder="1" applyAlignment="1">
      <alignment horizontal="center" vertical="top" wrapText="1"/>
    </xf>
    <xf numFmtId="0" fontId="32" fillId="0" borderId="23" xfId="0" applyFont="1" applyBorder="1" applyAlignment="1">
      <alignment horizontal="center" vertical="top" wrapText="1"/>
    </xf>
    <xf numFmtId="0" fontId="31" fillId="0" borderId="23" xfId="0" applyFont="1" applyBorder="1" applyAlignment="1">
      <alignment horizontal="center" vertical="top" wrapText="1"/>
    </xf>
    <xf numFmtId="0" fontId="31" fillId="0" borderId="27" xfId="0" applyFont="1" applyBorder="1" applyAlignment="1">
      <alignment horizontal="center" vertical="top" wrapText="1"/>
    </xf>
    <xf numFmtId="0" fontId="33" fillId="0" borderId="23" xfId="0" applyFont="1" applyBorder="1" applyAlignment="1">
      <alignment horizontal="center" vertical="top" wrapText="1"/>
    </xf>
    <xf numFmtId="0" fontId="33" fillId="0" borderId="27" xfId="0" applyFont="1" applyBorder="1" applyAlignment="1">
      <alignment horizontal="center" vertical="top" wrapText="1"/>
    </xf>
    <xf numFmtId="0" fontId="31" fillId="0" borderId="18" xfId="0" applyFont="1" applyBorder="1" applyAlignment="1">
      <alignment horizontal="center" vertical="top" wrapText="1"/>
    </xf>
    <xf numFmtId="0" fontId="31" fillId="0" borderId="19" xfId="0" applyFont="1" applyBorder="1" applyAlignment="1">
      <alignment horizontal="center" vertical="top" wrapText="1"/>
    </xf>
    <xf numFmtId="0" fontId="33" fillId="0" borderId="19" xfId="0" applyFont="1" applyBorder="1" applyAlignment="1">
      <alignment horizontal="center" vertical="top" wrapText="1"/>
    </xf>
    <xf numFmtId="0" fontId="32" fillId="0" borderId="19" xfId="0" applyFont="1" applyBorder="1" applyAlignment="1">
      <alignment horizontal="center" vertical="top" wrapText="1"/>
    </xf>
    <xf numFmtId="0" fontId="45" fillId="0" borderId="44" xfId="0" applyFont="1" applyBorder="1" applyAlignment="1">
      <alignment horizontal="center" vertical="top" wrapText="1"/>
    </xf>
    <xf numFmtId="0" fontId="45" fillId="0" borderId="45" xfId="0" applyFont="1" applyBorder="1" applyAlignment="1">
      <alignment horizontal="center" vertical="top" wrapText="1"/>
    </xf>
    <xf numFmtId="0" fontId="45" fillId="0" borderId="46" xfId="0" applyFont="1" applyBorder="1" applyAlignment="1">
      <alignment horizontal="center" vertical="top" wrapText="1"/>
    </xf>
    <xf numFmtId="0" fontId="42" fillId="0" borderId="18" xfId="0" applyFont="1" applyBorder="1" applyAlignment="1">
      <alignment horizontal="center" vertical="top" wrapText="1"/>
    </xf>
    <xf numFmtId="0" fontId="42" fillId="0" borderId="22" xfId="0" applyFont="1" applyBorder="1" applyAlignment="1">
      <alignment horizontal="center" vertical="top" wrapText="1"/>
    </xf>
    <xf numFmtId="0" fontId="42" fillId="0" borderId="26" xfId="0" applyFont="1" applyBorder="1" applyAlignment="1">
      <alignment horizontal="center" vertical="top" wrapText="1"/>
    </xf>
    <xf numFmtId="0" fontId="43" fillId="0" borderId="19" xfId="0" applyFont="1" applyBorder="1" applyAlignment="1">
      <alignment horizontal="center" vertical="top" wrapText="1"/>
    </xf>
    <xf numFmtId="0" fontId="42" fillId="0" borderId="23" xfId="0" applyFont="1" applyBorder="1" applyAlignment="1">
      <alignment horizontal="center" vertical="top" wrapText="1"/>
    </xf>
    <xf numFmtId="0" fontId="42" fillId="0" borderId="27" xfId="0" applyFont="1" applyBorder="1" applyAlignment="1">
      <alignment horizontal="center" vertical="top" wrapText="1"/>
    </xf>
    <xf numFmtId="0" fontId="44" fillId="0" borderId="19" xfId="0" applyFont="1" applyBorder="1" applyAlignment="1">
      <alignment horizontal="center" vertical="top" wrapText="1"/>
    </xf>
    <xf numFmtId="0" fontId="44" fillId="0" borderId="23" xfId="0" applyFont="1" applyBorder="1" applyAlignment="1">
      <alignment horizontal="center" vertical="top" wrapText="1"/>
    </xf>
    <xf numFmtId="0" fontId="44" fillId="0" borderId="27" xfId="0" applyFont="1" applyBorder="1" applyAlignment="1">
      <alignment horizontal="center" vertical="top" wrapText="1"/>
    </xf>
    <xf numFmtId="0" fontId="42" fillId="0" borderId="19" xfId="0" applyFont="1" applyBorder="1" applyAlignment="1">
      <alignment horizontal="center" vertical="top" wrapText="1"/>
    </xf>
    <xf numFmtId="0" fontId="30" fillId="0" borderId="44" xfId="0" applyFont="1" applyBorder="1" applyAlignment="1">
      <alignment horizontal="center" vertical="top" wrapText="1"/>
    </xf>
    <xf numFmtId="0" fontId="30" fillId="0" borderId="45" xfId="0" applyFont="1" applyBorder="1" applyAlignment="1">
      <alignment horizontal="center" vertical="top" wrapText="1"/>
    </xf>
    <xf numFmtId="0" fontId="30" fillId="0" borderId="46" xfId="0" applyFont="1" applyBorder="1" applyAlignment="1">
      <alignment horizontal="center" vertical="top" wrapText="1"/>
    </xf>
    <xf numFmtId="0" fontId="28" fillId="0" borderId="19" xfId="0" applyFont="1" applyBorder="1" applyAlignment="1">
      <alignment horizontal="center" vertical="top" wrapText="1"/>
    </xf>
    <xf numFmtId="0" fontId="37" fillId="0" borderId="18" xfId="0" applyFont="1" applyBorder="1" applyAlignment="1">
      <alignment horizontal="center" vertical="top" wrapText="1"/>
    </xf>
    <xf numFmtId="0" fontId="37" fillId="0" borderId="22" xfId="0" applyFont="1" applyBorder="1" applyAlignment="1">
      <alignment horizontal="center" vertical="top" wrapText="1"/>
    </xf>
    <xf numFmtId="0" fontId="37" fillId="0" borderId="32" xfId="0" applyFont="1" applyBorder="1" applyAlignment="1">
      <alignment horizontal="center" vertical="top" wrapText="1"/>
    </xf>
    <xf numFmtId="0" fontId="38" fillId="0" borderId="19" xfId="0" applyFont="1" applyBorder="1" applyAlignment="1">
      <alignment horizontal="center" vertical="top" wrapText="1"/>
    </xf>
    <xf numFmtId="0" fontId="38" fillId="0" borderId="23" xfId="0" applyFont="1" applyBorder="1" applyAlignment="1">
      <alignment horizontal="center" vertical="top" wrapText="1"/>
    </xf>
    <xf numFmtId="0" fontId="38" fillId="0" borderId="31" xfId="0" applyFont="1" applyBorder="1" applyAlignment="1">
      <alignment horizontal="center" vertical="top" wrapText="1"/>
    </xf>
    <xf numFmtId="0" fontId="36" fillId="0" borderId="19" xfId="0" applyFont="1" applyBorder="1" applyAlignment="1">
      <alignment horizontal="center" vertical="top" wrapText="1"/>
    </xf>
    <xf numFmtId="0" fontId="36" fillId="0" borderId="23" xfId="0" applyFont="1" applyBorder="1" applyAlignment="1">
      <alignment horizontal="center" vertical="top" wrapText="1"/>
    </xf>
    <xf numFmtId="0" fontId="36" fillId="0" borderId="31" xfId="0" applyFont="1" applyBorder="1" applyAlignment="1">
      <alignment horizontal="center" vertical="top" wrapText="1"/>
    </xf>
    <xf numFmtId="0" fontId="37" fillId="0" borderId="26" xfId="0" applyFont="1" applyBorder="1" applyAlignment="1">
      <alignment horizontal="center" vertical="top" wrapText="1"/>
    </xf>
    <xf numFmtId="0" fontId="38" fillId="0" borderId="27" xfId="0" applyFont="1" applyBorder="1" applyAlignment="1">
      <alignment horizontal="center" vertical="top" wrapText="1"/>
    </xf>
    <xf numFmtId="0" fontId="36" fillId="0" borderId="27" xfId="0" applyFont="1" applyBorder="1" applyAlignment="1">
      <alignment horizontal="center" vertical="top" wrapText="1"/>
    </xf>
    <xf numFmtId="0" fontId="37" fillId="0" borderId="19" xfId="0" applyFont="1" applyBorder="1" applyAlignment="1">
      <alignment horizontal="center" vertical="top" wrapText="1"/>
    </xf>
    <xf numFmtId="0" fontId="37" fillId="0" borderId="23" xfId="0" applyFont="1" applyBorder="1" applyAlignment="1">
      <alignment horizontal="center" vertical="top" wrapText="1"/>
    </xf>
    <xf numFmtId="0" fontId="37" fillId="0" borderId="31" xfId="0" applyFont="1" applyBorder="1" applyAlignment="1">
      <alignment horizontal="center" vertical="top" wrapText="1"/>
    </xf>
    <xf numFmtId="0" fontId="26" fillId="0" borderId="44" xfId="0" applyFont="1" applyBorder="1" applyAlignment="1">
      <alignment horizontal="center" vertical="top" wrapText="1"/>
    </xf>
    <xf numFmtId="0" fontId="26" fillId="0" borderId="45" xfId="0" applyFont="1" applyBorder="1" applyAlignment="1">
      <alignment horizontal="center" vertical="top" wrapText="1"/>
    </xf>
    <xf numFmtId="0" fontId="26" fillId="0" borderId="46" xfId="0" applyFont="1" applyBorder="1" applyAlignment="1">
      <alignment horizontal="center" vertical="top" wrapText="1"/>
    </xf>
    <xf numFmtId="0" fontId="23" fillId="0" borderId="18" xfId="0" applyFont="1" applyBorder="1" applyAlignment="1">
      <alignment horizontal="center" vertical="top" wrapText="1"/>
    </xf>
    <xf numFmtId="0" fontId="23" fillId="0" borderId="22" xfId="0" applyFont="1" applyBorder="1" applyAlignment="1">
      <alignment horizontal="center" vertical="top" wrapText="1"/>
    </xf>
    <xf numFmtId="0" fontId="23" fillId="0" borderId="32" xfId="0" applyFont="1" applyBorder="1" applyAlignment="1">
      <alignment horizontal="center" vertical="top" wrapText="1"/>
    </xf>
    <xf numFmtId="0" fontId="24" fillId="0" borderId="19" xfId="0" applyFont="1" applyBorder="1" applyAlignment="1">
      <alignment horizontal="center" vertical="top" wrapText="1"/>
    </xf>
    <xf numFmtId="0" fontId="24" fillId="0" borderId="23" xfId="0" applyFont="1" applyBorder="1" applyAlignment="1">
      <alignment horizontal="center" vertical="top" wrapText="1"/>
    </xf>
    <xf numFmtId="0" fontId="24" fillId="0" borderId="31" xfId="0" applyFont="1" applyBorder="1" applyAlignment="1">
      <alignment horizontal="center" vertical="top" wrapText="1"/>
    </xf>
    <xf numFmtId="0" fontId="25" fillId="0" borderId="19" xfId="0" applyFont="1" applyBorder="1" applyAlignment="1">
      <alignment horizontal="center" vertical="top" wrapText="1"/>
    </xf>
    <xf numFmtId="0" fontId="25" fillId="0" borderId="23" xfId="0" applyFont="1" applyBorder="1" applyAlignment="1">
      <alignment horizontal="center" vertical="top" wrapText="1"/>
    </xf>
    <xf numFmtId="0" fontId="25" fillId="0" borderId="31" xfId="0" applyFont="1" applyBorder="1" applyAlignment="1">
      <alignment horizontal="center" vertical="top" wrapText="1"/>
    </xf>
    <xf numFmtId="0" fontId="23" fillId="0" borderId="26" xfId="0" applyFont="1" applyBorder="1" applyAlignment="1">
      <alignment horizontal="center" vertical="top" wrapText="1"/>
    </xf>
    <xf numFmtId="0" fontId="23" fillId="0" borderId="19" xfId="0" applyFont="1" applyBorder="1" applyAlignment="1">
      <alignment horizontal="center" vertical="top" wrapText="1"/>
    </xf>
    <xf numFmtId="0" fontId="23" fillId="0" borderId="23" xfId="0" applyFont="1" applyBorder="1" applyAlignment="1">
      <alignment horizontal="center" vertical="top" wrapText="1"/>
    </xf>
    <xf numFmtId="0" fontId="23" fillId="0" borderId="31" xfId="0" applyFont="1" applyBorder="1" applyAlignment="1">
      <alignment horizontal="center" vertical="top" wrapText="1"/>
    </xf>
    <xf numFmtId="0" fontId="25" fillId="0" borderId="27" xfId="0" applyFont="1" applyBorder="1" applyAlignment="1">
      <alignment horizontal="center" vertical="top" wrapText="1"/>
    </xf>
    <xf numFmtId="0" fontId="47" fillId="0" borderId="31" xfId="0" applyFont="1" applyBorder="1" applyAlignment="1">
      <alignment horizontal="center" vertical="center"/>
    </xf>
    <xf numFmtId="0" fontId="13" fillId="0" borderId="31" xfId="1" applyFont="1" applyBorder="1" applyAlignment="1">
      <alignment vertical="top" wrapText="1"/>
    </xf>
    <xf numFmtId="0" fontId="18" fillId="3" borderId="0" xfId="0" applyFont="1" applyFill="1" applyAlignment="1">
      <alignment horizontal="left" vertical="center"/>
    </xf>
    <xf numFmtId="0" fontId="9" fillId="3" borderId="0" xfId="0" applyFont="1" applyFill="1" applyAlignment="1">
      <alignment horizontal="center" vertical="top" wrapText="1"/>
    </xf>
    <xf numFmtId="0" fontId="9" fillId="3" borderId="0" xfId="0" applyFont="1" applyFill="1" applyAlignment="1">
      <alignment horizontal="center"/>
    </xf>
  </cellXfs>
  <cellStyles count="2">
    <cellStyle name="Normal" xfId="0" builtinId="0"/>
    <cellStyle name="Standard 2" xfId="1" xr:uid="{62B02F5A-358C-8B4D-BE02-B64D9E029649}"/>
  </cellStyles>
  <dxfs count="90">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rgb="FF9C0006"/>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trike val="0"/>
        <color theme="2" tint="-9.9948118533890809E-2"/>
      </font>
    </dxf>
    <dxf>
      <font>
        <color rgb="FF9C0006"/>
      </font>
    </dxf>
    <dxf>
      <font>
        <color theme="2" tint="-9.9948118533890809E-2"/>
      </font>
    </dxf>
    <dxf>
      <font>
        <color rgb="FF9C0006"/>
      </font>
    </dxf>
    <dxf>
      <font>
        <color rgb="FF006100"/>
      </font>
      <fill>
        <patternFill>
          <bgColor rgb="FFC6EFCE"/>
        </patternFill>
      </fill>
    </dxf>
    <dxf>
      <font>
        <color rgb="FF9C0006"/>
      </font>
      <fill>
        <patternFill>
          <bgColor rgb="FFFFC7CE"/>
        </patternFill>
      </fill>
    </dxf>
    <dxf>
      <font>
        <color rgb="FF9C0006"/>
      </font>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2" tint="-0.24994659260841701"/>
      </font>
      <fill>
        <patternFill patternType="none">
          <bgColor auto="1"/>
        </patternFill>
      </fill>
    </dxf>
    <dxf>
      <font>
        <color theme="0" tint="-0.249977111117893"/>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3CC04-C090-CF40-93EA-27CEA56E6A69}">
  <dimension ref="A1:K28"/>
  <sheetViews>
    <sheetView workbookViewId="0">
      <selection activeCell="C33" sqref="C33"/>
    </sheetView>
  </sheetViews>
  <sheetFormatPr baseColWidth="10" defaultRowHeight="27" customHeight="1" x14ac:dyDescent="0.2"/>
  <cols>
    <col min="1" max="1" width="4" customWidth="1"/>
    <col min="2" max="10" width="17.83203125" customWidth="1"/>
  </cols>
  <sheetData>
    <row r="1" spans="1:11" ht="41" customHeight="1" x14ac:dyDescent="0.3">
      <c r="A1" s="161" t="s">
        <v>1</v>
      </c>
      <c r="B1" s="161"/>
      <c r="C1" s="161"/>
      <c r="D1" s="161"/>
      <c r="E1" s="161"/>
      <c r="F1" s="161"/>
      <c r="G1" s="161"/>
      <c r="H1" s="161"/>
      <c r="I1" s="161"/>
      <c r="J1" s="161"/>
      <c r="K1" s="161"/>
    </row>
    <row r="2" spans="1:11" ht="41" customHeight="1" x14ac:dyDescent="0.2">
      <c r="A2" s="162" t="s">
        <v>0</v>
      </c>
      <c r="B2" s="162"/>
      <c r="C2" s="162"/>
      <c r="D2" s="162"/>
      <c r="E2" s="162"/>
      <c r="F2" s="162"/>
      <c r="G2" s="162"/>
      <c r="H2" s="162"/>
      <c r="I2" s="162"/>
      <c r="J2" s="162"/>
      <c r="K2" s="162"/>
    </row>
    <row r="3" spans="1:11" ht="27" customHeight="1" x14ac:dyDescent="0.25">
      <c r="A3" s="1"/>
      <c r="B3" s="2"/>
      <c r="C3" s="1"/>
      <c r="D3" s="1"/>
      <c r="E3" s="1"/>
      <c r="F3" s="1"/>
      <c r="G3" s="1"/>
      <c r="H3" s="1"/>
      <c r="I3" s="1"/>
      <c r="J3" s="1"/>
      <c r="K3" s="1"/>
    </row>
    <row r="4" spans="1:11" ht="21" customHeight="1" x14ac:dyDescent="0.2">
      <c r="A4" s="1"/>
      <c r="B4" s="163" t="s">
        <v>459</v>
      </c>
      <c r="C4" s="163"/>
      <c r="D4" s="163"/>
      <c r="E4" s="163"/>
      <c r="F4" s="163"/>
      <c r="G4" s="163"/>
      <c r="H4" s="163"/>
      <c r="I4" s="163"/>
      <c r="J4" s="163"/>
      <c r="K4" s="1"/>
    </row>
    <row r="5" spans="1:11" ht="18" customHeight="1" x14ac:dyDescent="0.2">
      <c r="A5" s="1"/>
      <c r="B5" s="163"/>
      <c r="C5" s="163"/>
      <c r="D5" s="163"/>
      <c r="E5" s="163"/>
      <c r="F5" s="163"/>
      <c r="G5" s="163"/>
      <c r="H5" s="163"/>
      <c r="I5" s="163"/>
      <c r="J5" s="163"/>
      <c r="K5" s="1"/>
    </row>
    <row r="6" spans="1:11" ht="50" customHeight="1" x14ac:dyDescent="0.2">
      <c r="A6" s="1"/>
      <c r="B6" s="163"/>
      <c r="C6" s="163"/>
      <c r="D6" s="163"/>
      <c r="E6" s="163"/>
      <c r="F6" s="163"/>
      <c r="G6" s="163"/>
      <c r="H6" s="163"/>
      <c r="I6" s="163"/>
      <c r="J6" s="163"/>
      <c r="K6" s="1"/>
    </row>
    <row r="7" spans="1:11" ht="114" customHeight="1" x14ac:dyDescent="0.2">
      <c r="A7" s="1"/>
      <c r="B7" s="163"/>
      <c r="C7" s="163"/>
      <c r="D7" s="163"/>
      <c r="E7" s="163"/>
      <c r="F7" s="163"/>
      <c r="G7" s="163"/>
      <c r="H7" s="163"/>
      <c r="I7" s="163"/>
      <c r="J7" s="163"/>
      <c r="K7" s="1"/>
    </row>
    <row r="8" spans="1:11" ht="47" customHeight="1" x14ac:dyDescent="0.2">
      <c r="A8" s="3"/>
      <c r="B8" s="163"/>
      <c r="C8" s="163"/>
      <c r="D8" s="163"/>
      <c r="E8" s="163"/>
      <c r="F8" s="163"/>
      <c r="G8" s="163"/>
      <c r="H8" s="163"/>
      <c r="I8" s="163"/>
      <c r="J8" s="163"/>
      <c r="K8" s="4"/>
    </row>
    <row r="9" spans="1:11" ht="49" customHeight="1" x14ac:dyDescent="0.2">
      <c r="A9" s="3"/>
      <c r="B9" s="163"/>
      <c r="C9" s="163"/>
      <c r="D9" s="163"/>
      <c r="E9" s="163"/>
      <c r="F9" s="163"/>
      <c r="G9" s="163"/>
      <c r="H9" s="163"/>
      <c r="I9" s="163"/>
      <c r="J9" s="163"/>
      <c r="K9" s="4"/>
    </row>
    <row r="10" spans="1:11" ht="27" customHeight="1" x14ac:dyDescent="0.2">
      <c r="A10" s="5"/>
      <c r="B10" s="163"/>
      <c r="C10" s="163"/>
      <c r="D10" s="163"/>
      <c r="E10" s="163"/>
      <c r="F10" s="163"/>
      <c r="G10" s="163"/>
      <c r="H10" s="163"/>
      <c r="I10" s="163"/>
      <c r="J10" s="163"/>
      <c r="K10" s="6"/>
    </row>
    <row r="11" spans="1:11" ht="27" customHeight="1" x14ac:dyDescent="0.2">
      <c r="A11" s="7"/>
      <c r="B11" s="163"/>
      <c r="C11" s="163"/>
      <c r="D11" s="163"/>
      <c r="E11" s="163"/>
      <c r="F11" s="163"/>
      <c r="G11" s="163"/>
      <c r="H11" s="163"/>
      <c r="I11" s="163"/>
      <c r="J11" s="163"/>
      <c r="K11" s="9"/>
    </row>
    <row r="12" spans="1:11" ht="27" customHeight="1" x14ac:dyDescent="0.2">
      <c r="A12" s="7"/>
      <c r="B12" s="163"/>
      <c r="C12" s="163"/>
      <c r="D12" s="163"/>
      <c r="E12" s="163"/>
      <c r="F12" s="163"/>
      <c r="G12" s="163"/>
      <c r="H12" s="163"/>
      <c r="I12" s="163"/>
      <c r="J12" s="163"/>
      <c r="K12" s="1"/>
    </row>
    <row r="13" spans="1:11" ht="27" customHeight="1" x14ac:dyDescent="0.2">
      <c r="A13" s="7"/>
      <c r="B13" s="163"/>
      <c r="C13" s="163"/>
      <c r="D13" s="163"/>
      <c r="E13" s="163"/>
      <c r="F13" s="163"/>
      <c r="G13" s="163"/>
      <c r="H13" s="163"/>
      <c r="I13" s="163"/>
      <c r="J13" s="163"/>
      <c r="K13" s="1"/>
    </row>
    <row r="14" spans="1:11" ht="27" customHeight="1" x14ac:dyDescent="0.2">
      <c r="A14" s="7"/>
      <c r="B14" s="163"/>
      <c r="C14" s="163"/>
      <c r="D14" s="163"/>
      <c r="E14" s="163"/>
      <c r="F14" s="163"/>
      <c r="G14" s="163"/>
      <c r="H14" s="163"/>
      <c r="I14" s="163"/>
      <c r="J14" s="163"/>
      <c r="K14" s="1"/>
    </row>
    <row r="15" spans="1:11" ht="27" customHeight="1" x14ac:dyDescent="0.2">
      <c r="A15" s="7"/>
      <c r="B15" s="163"/>
      <c r="C15" s="163"/>
      <c r="D15" s="163"/>
      <c r="E15" s="163"/>
      <c r="F15" s="163"/>
      <c r="G15" s="163"/>
      <c r="H15" s="163"/>
      <c r="I15" s="163"/>
      <c r="J15" s="163"/>
      <c r="K15" s="1"/>
    </row>
    <row r="16" spans="1:11" ht="27" customHeight="1" x14ac:dyDescent="0.2">
      <c r="A16" s="7"/>
      <c r="B16" s="163"/>
      <c r="C16" s="163"/>
      <c r="D16" s="163"/>
      <c r="E16" s="163"/>
      <c r="F16" s="163"/>
      <c r="G16" s="163"/>
      <c r="H16" s="163"/>
      <c r="I16" s="163"/>
      <c r="J16" s="163"/>
      <c r="K16" s="1"/>
    </row>
    <row r="17" spans="1:11" ht="27" customHeight="1" x14ac:dyDescent="0.2">
      <c r="A17" s="7"/>
      <c r="B17" s="163"/>
      <c r="C17" s="163"/>
      <c r="D17" s="163"/>
      <c r="E17" s="163"/>
      <c r="F17" s="163"/>
      <c r="G17" s="163"/>
      <c r="H17" s="163"/>
      <c r="I17" s="163"/>
      <c r="J17" s="163"/>
      <c r="K17" s="1"/>
    </row>
    <row r="18" spans="1:11" ht="27" customHeight="1" x14ac:dyDescent="0.2">
      <c r="A18" s="7"/>
      <c r="B18" s="163"/>
      <c r="C18" s="163"/>
      <c r="D18" s="163"/>
      <c r="E18" s="163"/>
      <c r="F18" s="163"/>
      <c r="G18" s="163"/>
      <c r="H18" s="163"/>
      <c r="I18" s="163"/>
      <c r="J18" s="163"/>
      <c r="K18" s="1"/>
    </row>
    <row r="19" spans="1:11" ht="27" customHeight="1" x14ac:dyDescent="0.2">
      <c r="A19" s="8"/>
      <c r="B19" s="163"/>
      <c r="C19" s="163"/>
      <c r="D19" s="163"/>
      <c r="E19" s="163"/>
      <c r="F19" s="163"/>
      <c r="G19" s="163"/>
      <c r="H19" s="163"/>
      <c r="I19" s="163"/>
      <c r="J19" s="163"/>
      <c r="K19" s="1"/>
    </row>
    <row r="20" spans="1:11" ht="27" customHeight="1" x14ac:dyDescent="0.2">
      <c r="A20" s="8"/>
      <c r="B20" s="163"/>
      <c r="C20" s="163"/>
      <c r="D20" s="163"/>
      <c r="E20" s="163"/>
      <c r="F20" s="163"/>
      <c r="G20" s="163"/>
      <c r="H20" s="163"/>
      <c r="I20" s="163"/>
      <c r="J20" s="163"/>
      <c r="K20" s="1"/>
    </row>
    <row r="21" spans="1:11" ht="27" customHeight="1" x14ac:dyDescent="0.2">
      <c r="A21" s="1"/>
      <c r="B21" s="163"/>
      <c r="C21" s="163"/>
      <c r="D21" s="163"/>
      <c r="E21" s="163"/>
      <c r="F21" s="163"/>
      <c r="G21" s="163"/>
      <c r="H21" s="163"/>
      <c r="I21" s="163"/>
      <c r="J21" s="163"/>
      <c r="K21" s="1"/>
    </row>
    <row r="22" spans="1:11" ht="27" customHeight="1" x14ac:dyDescent="0.2">
      <c r="A22" s="1"/>
      <c r="B22" s="163"/>
      <c r="C22" s="163"/>
      <c r="D22" s="163"/>
      <c r="E22" s="163"/>
      <c r="F22" s="163"/>
      <c r="G22" s="163"/>
      <c r="H22" s="163"/>
      <c r="I22" s="163"/>
      <c r="J22" s="163"/>
      <c r="K22" s="1"/>
    </row>
    <row r="23" spans="1:11" ht="27" customHeight="1" x14ac:dyDescent="0.2">
      <c r="B23" s="163"/>
      <c r="C23" s="163"/>
      <c r="D23" s="163"/>
      <c r="E23" s="163"/>
      <c r="F23" s="163"/>
      <c r="G23" s="163"/>
      <c r="H23" s="163"/>
      <c r="I23" s="163"/>
      <c r="J23" s="163"/>
      <c r="K23" s="1"/>
    </row>
    <row r="24" spans="1:11" ht="27" customHeight="1" x14ac:dyDescent="0.2">
      <c r="A24" s="1"/>
      <c r="B24" s="163"/>
      <c r="C24" s="163"/>
      <c r="D24" s="163"/>
      <c r="E24" s="163"/>
      <c r="F24" s="163"/>
      <c r="G24" s="163"/>
      <c r="H24" s="163"/>
      <c r="I24" s="163"/>
      <c r="J24" s="163"/>
      <c r="K24" s="1"/>
    </row>
    <row r="25" spans="1:11" ht="27" customHeight="1" x14ac:dyDescent="0.2">
      <c r="A25" s="1"/>
      <c r="B25" s="1"/>
      <c r="C25" s="1"/>
      <c r="D25" s="1"/>
      <c r="E25" s="1"/>
      <c r="F25" s="1"/>
      <c r="G25" s="1"/>
      <c r="H25" s="1"/>
      <c r="I25" s="1"/>
      <c r="J25" s="1"/>
      <c r="K25" s="1"/>
    </row>
    <row r="26" spans="1:11" ht="27" customHeight="1" x14ac:dyDescent="0.2">
      <c r="A26" s="1"/>
      <c r="B26" s="1"/>
      <c r="C26" s="1"/>
      <c r="D26" s="1"/>
      <c r="E26" s="1"/>
      <c r="F26" s="1"/>
      <c r="G26" s="1"/>
      <c r="H26" s="1"/>
      <c r="I26" s="1"/>
      <c r="J26" s="1"/>
      <c r="K26" s="1"/>
    </row>
    <row r="27" spans="1:11" ht="27" customHeight="1" x14ac:dyDescent="0.2">
      <c r="A27" s="1"/>
      <c r="B27" s="1"/>
      <c r="C27" s="1"/>
      <c r="D27" s="1"/>
      <c r="E27" s="1"/>
      <c r="F27" s="1"/>
      <c r="G27" s="1"/>
      <c r="H27" s="1"/>
      <c r="I27" s="1"/>
      <c r="J27" s="1"/>
      <c r="K27" s="1"/>
    </row>
    <row r="28" spans="1:11" ht="27" customHeight="1" x14ac:dyDescent="0.2">
      <c r="A28" s="1"/>
      <c r="B28" s="1"/>
      <c r="C28" s="1"/>
      <c r="D28" s="1"/>
      <c r="E28" s="1"/>
      <c r="F28" s="1"/>
      <c r="G28" s="1"/>
      <c r="H28" s="1"/>
      <c r="I28" s="1"/>
      <c r="J28" s="1"/>
      <c r="K28" s="1"/>
    </row>
  </sheetData>
  <mergeCells count="3">
    <mergeCell ref="A1:K1"/>
    <mergeCell ref="A2:K2"/>
    <mergeCell ref="B4:J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EF807-CBBE-1C42-B241-28A114A09CFE}">
  <dimension ref="A1:K46"/>
  <sheetViews>
    <sheetView tabSelected="1" zoomScaleNormal="100" workbookViewId="0">
      <selection activeCell="G33" sqref="G33"/>
    </sheetView>
  </sheetViews>
  <sheetFormatPr baseColWidth="10" defaultRowHeight="16" x14ac:dyDescent="0.2"/>
  <cols>
    <col min="1" max="1" width="4" customWidth="1"/>
    <col min="2" max="2" width="99.33203125" customWidth="1"/>
    <col min="3" max="4" width="18.6640625" style="76" customWidth="1"/>
    <col min="5" max="5" width="8.5" customWidth="1"/>
    <col min="6" max="6" width="26.5" customWidth="1"/>
    <col min="7" max="9" width="18.6640625" customWidth="1"/>
  </cols>
  <sheetData>
    <row r="1" spans="1:11" ht="41" customHeight="1" x14ac:dyDescent="0.3">
      <c r="A1" s="161" t="s">
        <v>1</v>
      </c>
      <c r="B1" s="161"/>
      <c r="C1" s="161"/>
      <c r="D1" s="161"/>
      <c r="E1" s="161"/>
      <c r="F1" s="161"/>
      <c r="G1" s="161"/>
      <c r="H1" s="161"/>
      <c r="I1" s="161"/>
      <c r="J1" s="161"/>
      <c r="K1" s="161"/>
    </row>
    <row r="2" spans="1:11" ht="41" customHeight="1" x14ac:dyDescent="0.2">
      <c r="A2" s="162" t="s">
        <v>11</v>
      </c>
      <c r="B2" s="162"/>
      <c r="C2" s="162"/>
      <c r="D2" s="162"/>
      <c r="E2" s="162"/>
      <c r="F2" s="162"/>
      <c r="G2" s="162"/>
      <c r="H2" s="162"/>
      <c r="I2" s="162"/>
      <c r="J2" s="162"/>
      <c r="K2" s="162"/>
    </row>
    <row r="3" spans="1:11" x14ac:dyDescent="0.2">
      <c r="A3" s="1"/>
      <c r="B3" s="1"/>
      <c r="C3" s="75"/>
      <c r="D3" s="75"/>
      <c r="E3" s="1"/>
      <c r="F3" s="1"/>
      <c r="G3" s="1"/>
      <c r="H3" s="1"/>
      <c r="I3" s="1"/>
      <c r="J3" s="1"/>
      <c r="K3" s="1"/>
    </row>
    <row r="4" spans="1:11" ht="32" customHeight="1" x14ac:dyDescent="0.2">
      <c r="A4" s="1"/>
      <c r="B4" s="165" t="s">
        <v>462</v>
      </c>
      <c r="C4" s="165"/>
      <c r="D4" s="165"/>
      <c r="E4" s="165"/>
      <c r="F4" s="165"/>
      <c r="G4" s="165"/>
      <c r="H4" s="165"/>
      <c r="I4" s="165"/>
      <c r="J4" s="1"/>
      <c r="K4" s="1"/>
    </row>
    <row r="5" spans="1:11" ht="32" customHeight="1" x14ac:dyDescent="0.2">
      <c r="A5" s="1"/>
      <c r="B5" s="165"/>
      <c r="C5" s="165"/>
      <c r="D5" s="165"/>
      <c r="E5" s="165"/>
      <c r="F5" s="165"/>
      <c r="G5" s="165"/>
      <c r="H5" s="165"/>
      <c r="I5" s="165"/>
      <c r="J5" s="1"/>
      <c r="K5" s="1"/>
    </row>
    <row r="6" spans="1:11" x14ac:dyDescent="0.2">
      <c r="A6" s="1"/>
      <c r="B6" s="1"/>
      <c r="C6" s="75"/>
      <c r="D6" s="75"/>
      <c r="E6" s="1"/>
      <c r="F6" s="1"/>
      <c r="G6" s="1"/>
      <c r="H6" s="1"/>
      <c r="I6" s="1"/>
      <c r="J6" s="1"/>
      <c r="K6" s="1"/>
    </row>
    <row r="7" spans="1:11" ht="37" thickBot="1" x14ac:dyDescent="0.35">
      <c r="A7" s="1"/>
      <c r="B7" s="10" t="s">
        <v>2</v>
      </c>
      <c r="C7" s="77" t="s">
        <v>3</v>
      </c>
      <c r="D7" s="78" t="s">
        <v>4</v>
      </c>
      <c r="E7" s="1"/>
      <c r="F7" s="1"/>
      <c r="G7" s="1"/>
      <c r="H7" s="1"/>
      <c r="I7" s="1"/>
      <c r="J7" s="1"/>
      <c r="K7" s="1"/>
    </row>
    <row r="8" spans="1:11" ht="20" customHeight="1" x14ac:dyDescent="0.2">
      <c r="A8" s="1"/>
      <c r="B8" s="129" t="s">
        <v>7</v>
      </c>
      <c r="C8" s="79"/>
      <c r="D8" s="80"/>
      <c r="E8" s="1"/>
      <c r="F8" s="166" t="s">
        <v>461</v>
      </c>
      <c r="G8" s="166"/>
      <c r="H8" s="166"/>
      <c r="I8" s="166"/>
      <c r="J8" s="166"/>
      <c r="K8" s="1"/>
    </row>
    <row r="9" spans="1:11" ht="20" customHeight="1" x14ac:dyDescent="0.2">
      <c r="A9" s="1"/>
      <c r="B9" s="130" t="s">
        <v>420</v>
      </c>
      <c r="C9" s="152" t="s">
        <v>5</v>
      </c>
      <c r="D9" s="153" t="s">
        <v>44</v>
      </c>
      <c r="E9" s="1"/>
      <c r="F9" s="166"/>
      <c r="G9" s="166"/>
      <c r="H9" s="166"/>
      <c r="I9" s="166"/>
      <c r="J9" s="166"/>
      <c r="K9" s="1"/>
    </row>
    <row r="10" spans="1:11" ht="20" x14ac:dyDescent="0.2">
      <c r="A10" s="1"/>
      <c r="B10" s="130" t="s">
        <v>51</v>
      </c>
      <c r="C10" s="152" t="s">
        <v>5</v>
      </c>
      <c r="D10" s="153" t="s">
        <v>44</v>
      </c>
      <c r="E10" s="1"/>
      <c r="F10" s="166"/>
      <c r="G10" s="166"/>
      <c r="H10" s="166"/>
      <c r="I10" s="166"/>
      <c r="J10" s="166"/>
      <c r="K10" s="1"/>
    </row>
    <row r="11" spans="1:11" ht="20" x14ac:dyDescent="0.2">
      <c r="A11" s="1"/>
      <c r="B11" s="130" t="s">
        <v>52</v>
      </c>
      <c r="C11" s="152" t="s">
        <v>5</v>
      </c>
      <c r="D11" s="153" t="s">
        <v>44</v>
      </c>
      <c r="E11" s="1"/>
      <c r="F11" s="166"/>
      <c r="G11" s="166"/>
      <c r="H11" s="166"/>
      <c r="I11" s="166"/>
      <c r="J11" s="166"/>
      <c r="K11" s="1"/>
    </row>
    <row r="12" spans="1:11" ht="20" x14ac:dyDescent="0.2">
      <c r="A12" s="1"/>
      <c r="B12" s="130" t="s">
        <v>53</v>
      </c>
      <c r="C12" s="152" t="s">
        <v>5</v>
      </c>
      <c r="D12" s="153" t="s">
        <v>44</v>
      </c>
      <c r="E12" s="1"/>
      <c r="F12" s="6"/>
      <c r="G12" s="6"/>
      <c r="H12" s="6"/>
      <c r="I12" s="6"/>
      <c r="J12" s="6"/>
      <c r="K12" s="1"/>
    </row>
    <row r="13" spans="1:11" ht="21" thickBot="1" x14ac:dyDescent="0.25">
      <c r="A13" s="1"/>
      <c r="B13" s="131" t="s">
        <v>54</v>
      </c>
      <c r="C13" s="154" t="s">
        <v>5</v>
      </c>
      <c r="D13" s="155" t="s">
        <v>44</v>
      </c>
      <c r="E13" s="1"/>
      <c r="F13" s="6"/>
      <c r="G13" s="6"/>
      <c r="H13" s="6"/>
      <c r="I13" s="6"/>
      <c r="J13" s="6"/>
      <c r="K13" s="1"/>
    </row>
    <row r="14" spans="1:11" ht="20" x14ac:dyDescent="0.2">
      <c r="A14" s="1"/>
      <c r="B14" s="132" t="s">
        <v>65</v>
      </c>
      <c r="C14" s="156"/>
      <c r="D14" s="157"/>
      <c r="E14" s="1"/>
      <c r="F14" s="1"/>
      <c r="G14" s="1"/>
      <c r="H14" s="1"/>
      <c r="I14" s="1"/>
      <c r="J14" s="1"/>
      <c r="K14" s="1"/>
    </row>
    <row r="15" spans="1:11" ht="20" x14ac:dyDescent="0.2">
      <c r="A15" s="1"/>
      <c r="B15" s="133" t="s">
        <v>66</v>
      </c>
      <c r="C15" s="152" t="s">
        <v>5</v>
      </c>
      <c r="D15" s="153" t="s">
        <v>44</v>
      </c>
      <c r="E15" s="1"/>
      <c r="F15" s="1"/>
      <c r="G15" s="1"/>
      <c r="H15" s="1"/>
      <c r="I15" s="1"/>
      <c r="J15" s="1"/>
      <c r="K15" s="1"/>
    </row>
    <row r="16" spans="1:11" ht="20" x14ac:dyDescent="0.2">
      <c r="A16" s="1"/>
      <c r="B16" s="133" t="s">
        <v>67</v>
      </c>
      <c r="C16" s="152" t="s">
        <v>5</v>
      </c>
      <c r="D16" s="153" t="s">
        <v>44</v>
      </c>
      <c r="E16" s="1"/>
      <c r="F16" s="1"/>
      <c r="G16" s="1"/>
      <c r="H16" s="1"/>
      <c r="I16" s="1"/>
      <c r="J16" s="1"/>
      <c r="K16" s="1"/>
    </row>
    <row r="17" spans="1:11" ht="21" customHeight="1" thickBot="1" x14ac:dyDescent="0.25">
      <c r="A17" s="1"/>
      <c r="B17" s="134" t="s">
        <v>68</v>
      </c>
      <c r="C17" s="154" t="s">
        <v>5</v>
      </c>
      <c r="D17" s="155" t="s">
        <v>44</v>
      </c>
      <c r="E17" s="1"/>
      <c r="F17" s="1"/>
      <c r="G17" s="1"/>
      <c r="H17" s="1"/>
      <c r="I17" s="1"/>
      <c r="J17" s="1"/>
      <c r="K17" s="1"/>
    </row>
    <row r="18" spans="1:11" ht="20" x14ac:dyDescent="0.2">
      <c r="A18" s="1"/>
      <c r="B18" s="135" t="s">
        <v>8</v>
      </c>
      <c r="C18" s="156"/>
      <c r="D18" s="157"/>
      <c r="E18" s="1"/>
      <c r="F18" s="6"/>
      <c r="G18" s="6"/>
      <c r="H18" s="6"/>
      <c r="I18" s="6"/>
      <c r="J18" s="6"/>
      <c r="K18" s="1"/>
    </row>
    <row r="19" spans="1:11" ht="20" x14ac:dyDescent="0.2">
      <c r="A19" s="1"/>
      <c r="B19" s="136" t="s">
        <v>9</v>
      </c>
      <c r="C19" s="152" t="s">
        <v>5</v>
      </c>
      <c r="D19" s="153" t="s">
        <v>44</v>
      </c>
      <c r="E19" s="1"/>
      <c r="F19" s="6"/>
      <c r="G19" s="6"/>
      <c r="H19" s="6"/>
      <c r="I19" s="6"/>
      <c r="J19" s="6"/>
      <c r="K19" s="1"/>
    </row>
    <row r="20" spans="1:11" ht="20" x14ac:dyDescent="0.2">
      <c r="A20" s="1"/>
      <c r="B20" s="136" t="s">
        <v>55</v>
      </c>
      <c r="C20" s="152" t="s">
        <v>5</v>
      </c>
      <c r="D20" s="153" t="s">
        <v>44</v>
      </c>
      <c r="E20" s="1"/>
      <c r="G20" s="11"/>
      <c r="H20" s="1"/>
      <c r="I20" s="1"/>
      <c r="J20" s="1"/>
      <c r="K20" s="1"/>
    </row>
    <row r="21" spans="1:11" ht="20" x14ac:dyDescent="0.2">
      <c r="A21" s="1"/>
      <c r="B21" s="136" t="s">
        <v>10</v>
      </c>
      <c r="C21" s="152" t="s">
        <v>5</v>
      </c>
      <c r="D21" s="153" t="s">
        <v>44</v>
      </c>
      <c r="E21" s="1"/>
      <c r="F21" s="12"/>
      <c r="G21" s="164"/>
      <c r="H21" s="164"/>
      <c r="I21" s="164"/>
      <c r="J21" s="164"/>
      <c r="K21" s="1"/>
    </row>
    <row r="22" spans="1:11" ht="20" x14ac:dyDescent="0.2">
      <c r="A22" s="1"/>
      <c r="B22" s="137" t="s">
        <v>463</v>
      </c>
      <c r="C22" s="158" t="s">
        <v>5</v>
      </c>
      <c r="D22" s="153" t="s">
        <v>44</v>
      </c>
      <c r="E22" s="1"/>
      <c r="F22" s="12"/>
      <c r="G22" s="164"/>
      <c r="H22" s="164"/>
      <c r="I22" s="164"/>
      <c r="J22" s="164"/>
      <c r="K22" s="1"/>
    </row>
    <row r="23" spans="1:11" ht="20" x14ac:dyDescent="0.2">
      <c r="A23" s="1"/>
      <c r="B23" s="137" t="s">
        <v>56</v>
      </c>
      <c r="C23" s="158" t="s">
        <v>5</v>
      </c>
      <c r="D23" s="153" t="s">
        <v>44</v>
      </c>
      <c r="E23" s="1"/>
      <c r="F23" s="15" t="s">
        <v>6</v>
      </c>
      <c r="G23" s="164"/>
      <c r="H23" s="164"/>
      <c r="I23" s="164"/>
      <c r="J23" s="164"/>
      <c r="K23" s="1"/>
    </row>
    <row r="24" spans="1:11" ht="21" thickBot="1" x14ac:dyDescent="0.25">
      <c r="A24" s="1"/>
      <c r="B24" s="138" t="s">
        <v>57</v>
      </c>
      <c r="C24" s="154" t="s">
        <v>5</v>
      </c>
      <c r="D24" s="155" t="s">
        <v>44</v>
      </c>
      <c r="E24" s="1"/>
      <c r="F24" s="13"/>
      <c r="G24" s="164"/>
      <c r="H24" s="164"/>
      <c r="I24" s="164"/>
      <c r="J24" s="164"/>
      <c r="K24" s="1"/>
    </row>
    <row r="25" spans="1:11" ht="20" x14ac:dyDescent="0.2">
      <c r="A25" s="1"/>
      <c r="B25" s="139" t="s">
        <v>58</v>
      </c>
      <c r="C25" s="159"/>
      <c r="D25" s="157"/>
      <c r="E25" s="1"/>
      <c r="F25" s="14" t="s">
        <v>467</v>
      </c>
      <c r="G25" s="164" t="s">
        <v>464</v>
      </c>
      <c r="H25" s="164"/>
      <c r="I25" s="164"/>
      <c r="J25" s="164"/>
      <c r="K25" s="1"/>
    </row>
    <row r="26" spans="1:11" ht="20" x14ac:dyDescent="0.2">
      <c r="A26" s="1"/>
      <c r="B26" s="140" t="s">
        <v>59</v>
      </c>
      <c r="C26" s="152" t="s">
        <v>5</v>
      </c>
      <c r="D26" s="153" t="s">
        <v>44</v>
      </c>
      <c r="E26" s="1"/>
      <c r="F26" s="13"/>
      <c r="G26" s="164"/>
      <c r="H26" s="164"/>
      <c r="I26" s="164"/>
      <c r="J26" s="164"/>
      <c r="K26" s="1"/>
    </row>
    <row r="27" spans="1:11" ht="20" x14ac:dyDescent="0.2">
      <c r="A27" s="1"/>
      <c r="B27" s="140" t="s">
        <v>60</v>
      </c>
      <c r="C27" s="152" t="s">
        <v>5</v>
      </c>
      <c r="D27" s="153" t="s">
        <v>44</v>
      </c>
      <c r="E27" s="1"/>
      <c r="F27" s="14" t="s">
        <v>468</v>
      </c>
      <c r="G27" s="164" t="s">
        <v>465</v>
      </c>
      <c r="H27" s="164"/>
      <c r="I27" s="164"/>
      <c r="J27" s="164"/>
      <c r="K27" s="1"/>
    </row>
    <row r="28" spans="1:11" ht="20" x14ac:dyDescent="0.2">
      <c r="A28" s="1"/>
      <c r="B28" s="140" t="s">
        <v>421</v>
      </c>
      <c r="C28" s="152" t="s">
        <v>5</v>
      </c>
      <c r="D28" s="153" t="s">
        <v>44</v>
      </c>
      <c r="E28" s="1"/>
      <c r="F28" s="13"/>
      <c r="G28" s="164"/>
      <c r="H28" s="164"/>
      <c r="I28" s="164"/>
      <c r="J28" s="164"/>
      <c r="K28" s="1"/>
    </row>
    <row r="29" spans="1:11" ht="20" x14ac:dyDescent="0.2">
      <c r="A29" s="1"/>
      <c r="B29" s="140" t="s">
        <v>61</v>
      </c>
      <c r="C29" s="152" t="s">
        <v>5</v>
      </c>
      <c r="D29" s="153" t="s">
        <v>44</v>
      </c>
      <c r="E29" s="1"/>
      <c r="F29" s="14" t="s">
        <v>469</v>
      </c>
      <c r="G29" s="164" t="s">
        <v>466</v>
      </c>
      <c r="H29" s="164"/>
      <c r="I29" s="164"/>
      <c r="J29" s="164"/>
      <c r="K29" s="1"/>
    </row>
    <row r="30" spans="1:11" ht="21" thickBot="1" x14ac:dyDescent="0.25">
      <c r="A30" s="1"/>
      <c r="B30" s="141" t="s">
        <v>62</v>
      </c>
      <c r="C30" s="154" t="s">
        <v>5</v>
      </c>
      <c r="D30" s="155" t="s">
        <v>44</v>
      </c>
      <c r="E30" s="1"/>
      <c r="G30" s="164"/>
      <c r="H30" s="164"/>
      <c r="I30" s="164"/>
      <c r="J30" s="164"/>
      <c r="K30" s="1"/>
    </row>
    <row r="31" spans="1:11" ht="20" x14ac:dyDescent="0.2">
      <c r="A31" s="1"/>
      <c r="B31" s="142" t="s">
        <v>63</v>
      </c>
      <c r="C31" s="156"/>
      <c r="D31" s="157"/>
      <c r="E31" s="1"/>
      <c r="F31" s="14"/>
      <c r="G31" s="164"/>
      <c r="H31" s="164"/>
      <c r="I31" s="164"/>
      <c r="J31" s="164"/>
      <c r="K31" s="1"/>
    </row>
    <row r="32" spans="1:11" ht="20" x14ac:dyDescent="0.2">
      <c r="A32" s="1"/>
      <c r="B32" s="143" t="s">
        <v>422</v>
      </c>
      <c r="C32" s="152" t="s">
        <v>5</v>
      </c>
      <c r="D32" s="153" t="s">
        <v>44</v>
      </c>
      <c r="E32" s="1"/>
      <c r="F32" s="1"/>
      <c r="G32" s="1"/>
      <c r="H32" s="1"/>
      <c r="I32" s="1"/>
      <c r="J32" s="1"/>
      <c r="K32" s="1"/>
    </row>
    <row r="33" spans="1:11" ht="20" x14ac:dyDescent="0.2">
      <c r="A33" s="1"/>
      <c r="B33" s="143" t="s">
        <v>423</v>
      </c>
      <c r="C33" s="152" t="s">
        <v>5</v>
      </c>
      <c r="D33" s="153" t="s">
        <v>44</v>
      </c>
      <c r="E33" s="1"/>
      <c r="F33" s="1"/>
      <c r="G33" s="1"/>
      <c r="H33" s="1"/>
      <c r="I33" s="1"/>
      <c r="J33" s="1"/>
      <c r="K33" s="1"/>
    </row>
    <row r="34" spans="1:11" ht="20" x14ac:dyDescent="0.2">
      <c r="A34" s="1"/>
      <c r="B34" s="143" t="s">
        <v>424</v>
      </c>
      <c r="C34" s="152" t="s">
        <v>5</v>
      </c>
      <c r="D34" s="153" t="s">
        <v>44</v>
      </c>
      <c r="E34" s="1"/>
      <c r="F34" s="1"/>
      <c r="G34" s="1"/>
      <c r="H34" s="1"/>
      <c r="I34" s="1"/>
      <c r="J34" s="1"/>
      <c r="K34" s="1"/>
    </row>
    <row r="35" spans="1:11" ht="20" x14ac:dyDescent="0.2">
      <c r="A35" s="1"/>
      <c r="B35" s="143" t="s">
        <v>425</v>
      </c>
      <c r="C35" s="152" t="s">
        <v>5</v>
      </c>
      <c r="D35" s="153" t="s">
        <v>44</v>
      </c>
      <c r="E35" s="1"/>
      <c r="F35" s="1"/>
      <c r="G35" s="1"/>
      <c r="H35" s="1"/>
      <c r="I35" s="1"/>
      <c r="J35" s="1"/>
      <c r="K35" s="1"/>
    </row>
    <row r="36" spans="1:11" ht="21" thickBot="1" x14ac:dyDescent="0.25">
      <c r="A36" s="1"/>
      <c r="B36" s="144" t="s">
        <v>426</v>
      </c>
      <c r="C36" s="154" t="s">
        <v>5</v>
      </c>
      <c r="D36" s="155" t="s">
        <v>44</v>
      </c>
      <c r="E36" s="1"/>
      <c r="F36" s="1"/>
      <c r="G36" s="1"/>
      <c r="H36" s="1"/>
      <c r="I36" s="1"/>
      <c r="J36" s="1"/>
      <c r="K36" s="1"/>
    </row>
    <row r="37" spans="1:11" ht="20" x14ac:dyDescent="0.2">
      <c r="A37" s="1"/>
      <c r="B37" s="145" t="s">
        <v>64</v>
      </c>
      <c r="C37" s="156"/>
      <c r="D37" s="157"/>
      <c r="E37" s="1"/>
      <c r="F37" s="1"/>
      <c r="G37" s="1"/>
      <c r="H37" s="1"/>
      <c r="I37" s="1"/>
      <c r="J37" s="1"/>
      <c r="K37" s="1"/>
    </row>
    <row r="38" spans="1:11" ht="20" x14ac:dyDescent="0.2">
      <c r="A38" s="1"/>
      <c r="B38" s="146" t="s">
        <v>427</v>
      </c>
      <c r="C38" s="152" t="s">
        <v>5</v>
      </c>
      <c r="D38" s="153" t="s">
        <v>44</v>
      </c>
      <c r="E38" s="1"/>
      <c r="F38" s="1"/>
      <c r="G38" s="1"/>
      <c r="H38" s="1"/>
      <c r="I38" s="1"/>
      <c r="J38" s="1"/>
      <c r="K38" s="1"/>
    </row>
    <row r="39" spans="1:11" ht="20" x14ac:dyDescent="0.2">
      <c r="A39" s="1"/>
      <c r="B39" s="146" t="s">
        <v>428</v>
      </c>
      <c r="C39" s="152" t="s">
        <v>5</v>
      </c>
      <c r="D39" s="153" t="s">
        <v>44</v>
      </c>
      <c r="E39" s="1"/>
      <c r="F39" s="1"/>
      <c r="G39" s="1"/>
      <c r="H39" s="1"/>
      <c r="I39" s="1"/>
      <c r="J39" s="1"/>
      <c r="K39" s="1"/>
    </row>
    <row r="40" spans="1:11" ht="20" x14ac:dyDescent="0.2">
      <c r="A40" s="1"/>
      <c r="B40" s="147" t="s">
        <v>429</v>
      </c>
      <c r="C40" s="158" t="s">
        <v>5</v>
      </c>
      <c r="D40" s="153" t="s">
        <v>44</v>
      </c>
      <c r="E40" s="1"/>
      <c r="F40" s="1"/>
      <c r="G40" s="1"/>
      <c r="H40" s="1"/>
      <c r="I40" s="1"/>
      <c r="J40" s="1"/>
      <c r="K40" s="1"/>
    </row>
    <row r="41" spans="1:11" ht="21" thickBot="1" x14ac:dyDescent="0.25">
      <c r="A41" s="1"/>
      <c r="B41" s="148" t="s">
        <v>442</v>
      </c>
      <c r="C41" s="154" t="s">
        <v>5</v>
      </c>
      <c r="D41" s="155" t="s">
        <v>44</v>
      </c>
      <c r="E41" s="1"/>
      <c r="F41" s="1"/>
      <c r="G41" s="1"/>
      <c r="H41" s="1"/>
      <c r="I41" s="1"/>
      <c r="J41" s="1"/>
      <c r="K41" s="1"/>
    </row>
    <row r="42" spans="1:11" ht="20" x14ac:dyDescent="0.2">
      <c r="A42" s="1"/>
      <c r="B42" s="149" t="s">
        <v>69</v>
      </c>
      <c r="C42" s="160"/>
      <c r="D42" s="157"/>
      <c r="E42" s="1"/>
      <c r="F42" s="1"/>
      <c r="G42" s="1"/>
      <c r="H42" s="1"/>
      <c r="I42" s="1"/>
      <c r="J42" s="1"/>
      <c r="K42" s="1"/>
    </row>
    <row r="43" spans="1:11" ht="20" x14ac:dyDescent="0.2">
      <c r="A43" s="1"/>
      <c r="B43" s="150" t="s">
        <v>70</v>
      </c>
      <c r="C43" s="152" t="s">
        <v>5</v>
      </c>
      <c r="D43" s="153" t="s">
        <v>44</v>
      </c>
      <c r="E43" s="1"/>
      <c r="F43" s="1"/>
      <c r="G43" s="1"/>
      <c r="H43" s="1"/>
      <c r="I43" s="1"/>
      <c r="J43" s="1"/>
      <c r="K43" s="1"/>
    </row>
    <row r="44" spans="1:11" ht="20" x14ac:dyDescent="0.2">
      <c r="A44" s="1"/>
      <c r="B44" s="150" t="s">
        <v>71</v>
      </c>
      <c r="C44" s="152" t="s">
        <v>5</v>
      </c>
      <c r="D44" s="153" t="s">
        <v>44</v>
      </c>
      <c r="E44" s="1"/>
      <c r="F44" s="1"/>
      <c r="G44" s="1"/>
      <c r="H44" s="1"/>
      <c r="I44" s="1"/>
      <c r="J44" s="1"/>
      <c r="K44" s="1"/>
    </row>
    <row r="45" spans="1:11" ht="20" x14ac:dyDescent="0.2">
      <c r="A45" s="1"/>
      <c r="B45" s="150" t="s">
        <v>72</v>
      </c>
      <c r="C45" s="152" t="s">
        <v>5</v>
      </c>
      <c r="D45" s="153" t="s">
        <v>44</v>
      </c>
      <c r="E45" s="1"/>
      <c r="F45" s="1"/>
      <c r="G45" s="1"/>
      <c r="H45" s="1"/>
      <c r="I45" s="1"/>
      <c r="J45" s="1"/>
      <c r="K45" s="1"/>
    </row>
    <row r="46" spans="1:11" ht="21" thickBot="1" x14ac:dyDescent="0.25">
      <c r="A46" s="1"/>
      <c r="B46" s="151" t="s">
        <v>73</v>
      </c>
      <c r="C46" s="154" t="s">
        <v>5</v>
      </c>
      <c r="D46" s="155" t="s">
        <v>44</v>
      </c>
      <c r="E46" s="1"/>
      <c r="F46" s="1"/>
      <c r="G46" s="1"/>
      <c r="H46" s="1"/>
      <c r="I46" s="1"/>
      <c r="J46" s="1"/>
      <c r="K46" s="1"/>
    </row>
  </sheetData>
  <mergeCells count="8">
    <mergeCell ref="A1:K1"/>
    <mergeCell ref="A2:K2"/>
    <mergeCell ref="G25:J26"/>
    <mergeCell ref="G27:J28"/>
    <mergeCell ref="G29:J31"/>
    <mergeCell ref="B4:I5"/>
    <mergeCell ref="G21:J24"/>
    <mergeCell ref="F8:J11"/>
  </mergeCells>
  <conditionalFormatting sqref="D9:D46">
    <cfRule type="expression" dxfId="89" priority="1" stopIfTrue="1">
      <formula>$C9="No"</formula>
    </cfRule>
  </conditionalFormatting>
  <dataValidations count="2">
    <dataValidation type="list" allowBlank="1" showInputMessage="1" showErrorMessage="1" sqref="C9:C46" xr:uid="{055BC593-000A-5641-9C80-486AB1331380}">
      <formula1>"Yes, No"</formula1>
    </dataValidation>
    <dataValidation type="list" allowBlank="1" showInputMessage="1" showErrorMessage="1" sqref="D9:D46" xr:uid="{53E1F9F3-73E6-EC45-B34A-EBA780911186}">
      <formula1>"Select.... ,1,2,3"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B824-8803-444D-82A4-7CCF7CFE18E5}">
  <dimension ref="A1:T114"/>
  <sheetViews>
    <sheetView zoomScaleNormal="100" workbookViewId="0">
      <pane xSplit="5" ySplit="3" topLeftCell="F81" activePane="bottomRight" state="frozen"/>
      <selection pane="topRight" activeCell="F1" sqref="F1"/>
      <selection pane="bottomLeft" activeCell="A4" sqref="A4"/>
      <selection pane="bottomRight" activeCell="Z90" sqref="Z90"/>
    </sheetView>
  </sheetViews>
  <sheetFormatPr baseColWidth="10" defaultRowHeight="16" x14ac:dyDescent="0.2"/>
  <cols>
    <col min="1" max="1" width="4.5" customWidth="1"/>
    <col min="2" max="2" width="33.83203125" customWidth="1"/>
    <col min="3" max="3" width="12.6640625" customWidth="1"/>
    <col min="4" max="4" width="13.33203125" customWidth="1"/>
    <col min="5" max="5" width="40.5" customWidth="1"/>
    <col min="6" max="6" width="14.6640625" customWidth="1"/>
    <col min="7" max="8" width="13.6640625" customWidth="1"/>
    <col min="9" max="9" width="15.83203125" customWidth="1"/>
    <col min="10" max="12" width="13.6640625" customWidth="1"/>
    <col min="13" max="13" width="12.33203125" customWidth="1"/>
    <col min="14" max="14" width="49" style="47" customWidth="1"/>
    <col min="15" max="15" width="58.1640625" style="47" customWidth="1"/>
    <col min="16" max="16" width="15" style="76" customWidth="1"/>
    <col min="17" max="17" width="22" style="76" customWidth="1"/>
    <col min="18" max="18" width="22" customWidth="1"/>
    <col min="19" max="19" width="44.33203125" style="76" customWidth="1"/>
    <col min="20" max="20" width="5.6640625" customWidth="1"/>
  </cols>
  <sheetData>
    <row r="1" spans="1:20" ht="41" customHeight="1" x14ac:dyDescent="0.3">
      <c r="A1" s="161" t="s">
        <v>1</v>
      </c>
      <c r="B1" s="161"/>
      <c r="C1" s="161"/>
      <c r="D1" s="161"/>
      <c r="E1" s="161"/>
      <c r="F1" s="161"/>
      <c r="G1" s="161"/>
      <c r="H1" s="161"/>
      <c r="I1" s="161"/>
      <c r="J1" s="161"/>
      <c r="K1" s="161"/>
      <c r="L1" s="161"/>
      <c r="M1" s="161"/>
      <c r="N1" s="161"/>
      <c r="O1" s="161"/>
      <c r="P1" s="161"/>
      <c r="Q1" s="161"/>
      <c r="R1" s="161"/>
      <c r="S1" s="161"/>
      <c r="T1" s="161"/>
    </row>
    <row r="2" spans="1:20" ht="41" customHeight="1" thickBot="1" x14ac:dyDescent="0.25">
      <c r="A2" s="162" t="s">
        <v>316</v>
      </c>
      <c r="B2" s="162"/>
      <c r="C2" s="162"/>
      <c r="D2" s="162"/>
      <c r="E2" s="162"/>
      <c r="F2" s="162"/>
      <c r="G2" s="162"/>
      <c r="H2" s="162"/>
      <c r="I2" s="162"/>
      <c r="J2" s="162"/>
      <c r="K2" s="162"/>
      <c r="L2" s="162"/>
      <c r="M2" s="162"/>
      <c r="N2" s="162"/>
      <c r="O2" s="162"/>
      <c r="P2" s="162"/>
      <c r="Q2" s="162"/>
      <c r="R2" s="162"/>
      <c r="S2" s="162"/>
      <c r="T2" s="162"/>
    </row>
    <row r="3" spans="1:20" ht="35" thickBot="1" x14ac:dyDescent="0.25">
      <c r="A3" s="1"/>
      <c r="B3" s="16" t="s">
        <v>12</v>
      </c>
      <c r="C3" s="17" t="s">
        <v>13</v>
      </c>
      <c r="D3" s="17" t="s">
        <v>14</v>
      </c>
      <c r="E3" s="17" t="s">
        <v>319</v>
      </c>
      <c r="F3" s="17" t="s">
        <v>42</v>
      </c>
      <c r="G3" s="17" t="s">
        <v>43</v>
      </c>
      <c r="H3" s="17" t="s">
        <v>46</v>
      </c>
      <c r="I3" s="17" t="s">
        <v>50</v>
      </c>
      <c r="J3" s="17" t="s">
        <v>47</v>
      </c>
      <c r="K3" s="17" t="s">
        <v>48</v>
      </c>
      <c r="L3" s="17" t="s">
        <v>49</v>
      </c>
      <c r="M3" s="18" t="s">
        <v>15</v>
      </c>
      <c r="N3" s="60" t="s">
        <v>16</v>
      </c>
      <c r="O3" s="60" t="s">
        <v>318</v>
      </c>
      <c r="P3" s="74" t="s">
        <v>17</v>
      </c>
      <c r="Q3" s="74" t="s">
        <v>18</v>
      </c>
      <c r="R3" s="33" t="s">
        <v>45</v>
      </c>
      <c r="S3" s="82" t="s">
        <v>19</v>
      </c>
      <c r="T3" s="1"/>
    </row>
    <row r="4" spans="1:20" ht="17" hidden="1" thickBot="1" x14ac:dyDescent="0.25">
      <c r="A4" s="1"/>
      <c r="B4" s="84"/>
      <c r="C4" s="85"/>
      <c r="D4" s="85"/>
      <c r="E4" s="85"/>
      <c r="F4" s="85"/>
      <c r="G4" s="85"/>
      <c r="H4" s="85"/>
      <c r="I4" s="85"/>
      <c r="J4" s="85"/>
      <c r="K4" s="85"/>
      <c r="L4" s="85"/>
      <c r="M4" s="86"/>
      <c r="N4" s="87"/>
      <c r="O4" s="87"/>
      <c r="P4" s="88"/>
      <c r="Q4" s="88"/>
      <c r="R4" s="85"/>
      <c r="S4" s="89"/>
      <c r="T4" s="1"/>
    </row>
    <row r="5" spans="1:20" ht="32" customHeight="1" thickBot="1" x14ac:dyDescent="0.25">
      <c r="A5" s="1"/>
      <c r="B5" s="231" t="str">
        <f>'1. Scope &amp; Goals'!B8</f>
        <v>Governance and Compliance</v>
      </c>
      <c r="C5" s="232"/>
      <c r="D5" s="232"/>
      <c r="E5" s="232"/>
      <c r="F5" s="232"/>
      <c r="G5" s="232"/>
      <c r="H5" s="232"/>
      <c r="I5" s="232"/>
      <c r="J5" s="232"/>
      <c r="K5" s="232"/>
      <c r="L5" s="232"/>
      <c r="M5" s="232"/>
      <c r="N5" s="232"/>
      <c r="O5" s="232"/>
      <c r="P5" s="232"/>
      <c r="Q5" s="232"/>
      <c r="R5" s="233"/>
      <c r="S5" s="234"/>
      <c r="T5" s="1"/>
    </row>
    <row r="6" spans="1:20" ht="49" customHeight="1" x14ac:dyDescent="0.2">
      <c r="A6" s="1"/>
      <c r="B6" s="206" t="str">
        <f>'1. Scope &amp; Goals'!B9</f>
        <v>G1: Alignment with relevant EU regulations (CSRD, ESRS, EED, ESPR, WEEE, LCA, ISO14040, ISO14044)</v>
      </c>
      <c r="C6" s="210" t="s">
        <v>23</v>
      </c>
      <c r="D6" s="225" t="s">
        <v>20</v>
      </c>
      <c r="E6" s="186" t="s">
        <v>430</v>
      </c>
      <c r="F6" s="187" t="s">
        <v>132</v>
      </c>
      <c r="G6" s="187" t="s">
        <v>133</v>
      </c>
      <c r="H6" s="187" t="s">
        <v>134</v>
      </c>
      <c r="I6" s="187" t="s">
        <v>431</v>
      </c>
      <c r="J6" s="50" t="s">
        <v>135</v>
      </c>
      <c r="K6" s="50" t="s">
        <v>135</v>
      </c>
      <c r="L6" s="50" t="str">
        <f>IF(OR(J6="High", K6="High"),
    IF(AND(J6="High", K6="High"), "High",
        IF(OR(J6="High", K6="Medium", J6="Medium", K6="High"), "High", "Medium")),
    IF(AND(J6="Medium", K6="Medium"), "Medium", "Low"))</f>
        <v>High</v>
      </c>
      <c r="M6" s="19">
        <v>1</v>
      </c>
      <c r="N6" s="20" t="s">
        <v>25</v>
      </c>
      <c r="O6" s="41" t="s">
        <v>326</v>
      </c>
      <c r="P6" s="190" t="s">
        <v>44</v>
      </c>
      <c r="Q6" s="191"/>
      <c r="R6" s="192" t="s">
        <v>157</v>
      </c>
      <c r="S6" s="195"/>
      <c r="T6" s="1"/>
    </row>
    <row r="7" spans="1:20" ht="50" customHeight="1" x14ac:dyDescent="0.2">
      <c r="A7" s="1"/>
      <c r="B7" s="207"/>
      <c r="C7" s="211"/>
      <c r="D7" s="211"/>
      <c r="E7" s="169"/>
      <c r="F7" s="188"/>
      <c r="G7" s="188"/>
      <c r="H7" s="188"/>
      <c r="I7" s="188"/>
      <c r="J7" s="51" t="s">
        <v>136</v>
      </c>
      <c r="K7" s="51" t="s">
        <v>136</v>
      </c>
      <c r="L7" s="51" t="str">
        <f t="shared" ref="L7:L22" si="0">IF(OR(J7="High", K7="High"),
    IF(AND(J7="High", K7="High"), "High",
        IF(OR(J7="High", K7="Medium", J7="Medium", K7="High"), "High", "Medium")),
    IF(AND(J7="Medium", K7="Medium"), "Medium", "Low"))</f>
        <v>Medium</v>
      </c>
      <c r="M7" s="21">
        <v>2</v>
      </c>
      <c r="N7" s="22" t="s">
        <v>26</v>
      </c>
      <c r="O7" s="32" t="s">
        <v>327</v>
      </c>
      <c r="P7" s="171"/>
      <c r="Q7" s="173"/>
      <c r="R7" s="193"/>
      <c r="S7" s="175"/>
      <c r="T7" s="1"/>
    </row>
    <row r="8" spans="1:20" ht="50" customHeight="1" x14ac:dyDescent="0.2">
      <c r="A8" s="1"/>
      <c r="B8" s="207"/>
      <c r="C8" s="211"/>
      <c r="D8" s="230"/>
      <c r="E8" s="170"/>
      <c r="F8" s="189"/>
      <c r="G8" s="188"/>
      <c r="H8" s="189"/>
      <c r="I8" s="189"/>
      <c r="J8" s="52" t="s">
        <v>137</v>
      </c>
      <c r="K8" s="52" t="s">
        <v>137</v>
      </c>
      <c r="L8" s="52" t="str">
        <f>IF(OR(J8="High", K8="High"),
    IF(AND(J8="High", K8="High"), "High",
        IF(OR(J8="High", K8="Medium", J8="Medium", K8="High"), "High", "Medium")),
    IF(AND(J8="Medium", K8="Medium"), "Medium", "Low"))</f>
        <v>Low</v>
      </c>
      <c r="M8" s="23">
        <v>3</v>
      </c>
      <c r="N8" s="24" t="s">
        <v>27</v>
      </c>
      <c r="O8" s="59" t="s">
        <v>328</v>
      </c>
      <c r="P8" s="172"/>
      <c r="Q8" s="174"/>
      <c r="R8" s="194"/>
      <c r="S8" s="176"/>
      <c r="T8" s="1"/>
    </row>
    <row r="9" spans="1:20" ht="51" x14ac:dyDescent="0.2">
      <c r="A9" s="1"/>
      <c r="B9" s="207"/>
      <c r="C9" s="216" t="s">
        <v>22</v>
      </c>
      <c r="D9" s="210" t="s">
        <v>41</v>
      </c>
      <c r="E9" s="213" t="s">
        <v>76</v>
      </c>
      <c r="F9" s="188" t="s">
        <v>132</v>
      </c>
      <c r="G9" s="228" t="s">
        <v>133</v>
      </c>
      <c r="H9" s="228" t="s">
        <v>134</v>
      </c>
      <c r="I9" s="228" t="s">
        <v>138</v>
      </c>
      <c r="J9" s="53" t="s">
        <v>135</v>
      </c>
      <c r="K9" s="53" t="s">
        <v>135</v>
      </c>
      <c r="L9" s="53" t="str">
        <f t="shared" si="0"/>
        <v>High</v>
      </c>
      <c r="M9" s="31">
        <v>1</v>
      </c>
      <c r="N9" s="32" t="s">
        <v>139</v>
      </c>
      <c r="O9" s="32" t="s">
        <v>329</v>
      </c>
      <c r="P9" s="171" t="s">
        <v>44</v>
      </c>
      <c r="Q9" s="226"/>
      <c r="R9" s="238" t="s">
        <v>158</v>
      </c>
      <c r="S9" s="204"/>
      <c r="T9" s="1"/>
    </row>
    <row r="10" spans="1:20" ht="51" x14ac:dyDescent="0.2">
      <c r="A10" s="1"/>
      <c r="B10" s="207"/>
      <c r="C10" s="209"/>
      <c r="D10" s="211"/>
      <c r="E10" s="214"/>
      <c r="F10" s="188"/>
      <c r="G10" s="188"/>
      <c r="H10" s="188"/>
      <c r="I10" s="188"/>
      <c r="J10" s="51" t="s">
        <v>136</v>
      </c>
      <c r="K10" s="51" t="s">
        <v>136</v>
      </c>
      <c r="L10" s="51" t="str">
        <f t="shared" si="0"/>
        <v>Medium</v>
      </c>
      <c r="M10" s="31">
        <v>2</v>
      </c>
      <c r="N10" s="32" t="s">
        <v>140</v>
      </c>
      <c r="O10" s="32" t="s">
        <v>330</v>
      </c>
      <c r="P10" s="171"/>
      <c r="Q10" s="173"/>
      <c r="R10" s="193"/>
      <c r="S10" s="175"/>
      <c r="T10" s="1"/>
    </row>
    <row r="11" spans="1:20" ht="35" thickBot="1" x14ac:dyDescent="0.25">
      <c r="A11" s="1"/>
      <c r="B11" s="218"/>
      <c r="C11" s="217"/>
      <c r="D11" s="212"/>
      <c r="E11" s="215"/>
      <c r="F11" s="189"/>
      <c r="G11" s="229"/>
      <c r="H11" s="229"/>
      <c r="I11" s="229"/>
      <c r="J11" s="54" t="s">
        <v>137</v>
      </c>
      <c r="K11" s="54" t="s">
        <v>137</v>
      </c>
      <c r="L11" s="54" t="str">
        <f t="shared" si="0"/>
        <v>Low</v>
      </c>
      <c r="M11" s="31">
        <v>3</v>
      </c>
      <c r="N11" s="32" t="s">
        <v>141</v>
      </c>
      <c r="O11" s="32" t="s">
        <v>331</v>
      </c>
      <c r="P11" s="172"/>
      <c r="Q11" s="227"/>
      <c r="R11" s="203"/>
      <c r="S11" s="205"/>
      <c r="T11" s="1"/>
    </row>
    <row r="12" spans="1:20" ht="50" customHeight="1" x14ac:dyDescent="0.2">
      <c r="A12" s="1"/>
      <c r="B12" s="206" t="str">
        <f>'1. Scope &amp; Goals'!B10</f>
        <v>G2: Existence of a formal environmental sustainability strategy</v>
      </c>
      <c r="C12" s="236" t="s">
        <v>23</v>
      </c>
      <c r="D12" s="225" t="s">
        <v>21</v>
      </c>
      <c r="E12" s="186" t="s">
        <v>77</v>
      </c>
      <c r="F12" s="187" t="s">
        <v>132</v>
      </c>
      <c r="G12" s="187" t="s">
        <v>133</v>
      </c>
      <c r="H12" s="187" t="s">
        <v>134</v>
      </c>
      <c r="I12" s="187" t="s">
        <v>142</v>
      </c>
      <c r="J12" s="53" t="s">
        <v>136</v>
      </c>
      <c r="K12" s="53" t="s">
        <v>135</v>
      </c>
      <c r="L12" s="53" t="str">
        <f t="shared" si="0"/>
        <v>High</v>
      </c>
      <c r="M12" s="19">
        <v>1</v>
      </c>
      <c r="N12" s="20" t="s">
        <v>143</v>
      </c>
      <c r="O12" s="41" t="s">
        <v>332</v>
      </c>
      <c r="P12" s="190" t="s">
        <v>44</v>
      </c>
      <c r="Q12" s="191"/>
      <c r="R12" s="192" t="s">
        <v>159</v>
      </c>
      <c r="S12" s="195"/>
      <c r="T12" s="1"/>
    </row>
    <row r="13" spans="1:20" ht="51" x14ac:dyDescent="0.2">
      <c r="A13" s="1"/>
      <c r="B13" s="207"/>
      <c r="C13" s="209"/>
      <c r="D13" s="211"/>
      <c r="E13" s="169"/>
      <c r="F13" s="188"/>
      <c r="G13" s="188"/>
      <c r="H13" s="188"/>
      <c r="I13" s="188"/>
      <c r="J13" s="51" t="s">
        <v>136</v>
      </c>
      <c r="K13" s="51" t="s">
        <v>136</v>
      </c>
      <c r="L13" s="51" t="str">
        <f t="shared" si="0"/>
        <v>Medium</v>
      </c>
      <c r="M13" s="21">
        <v>2</v>
      </c>
      <c r="N13" s="22" t="s">
        <v>144</v>
      </c>
      <c r="O13" s="32" t="s">
        <v>333</v>
      </c>
      <c r="P13" s="171"/>
      <c r="Q13" s="173"/>
      <c r="R13" s="193"/>
      <c r="S13" s="175"/>
      <c r="T13" s="1"/>
    </row>
    <row r="14" spans="1:20" ht="33" customHeight="1" thickBot="1" x14ac:dyDescent="0.25">
      <c r="A14" s="1"/>
      <c r="B14" s="235"/>
      <c r="C14" s="237"/>
      <c r="D14" s="230"/>
      <c r="E14" s="170"/>
      <c r="F14" s="189"/>
      <c r="G14" s="189"/>
      <c r="H14" s="229"/>
      <c r="I14" s="229"/>
      <c r="J14" s="54" t="s">
        <v>137</v>
      </c>
      <c r="K14" s="54" t="s">
        <v>137</v>
      </c>
      <c r="L14" s="54" t="str">
        <f t="shared" si="0"/>
        <v>Low</v>
      </c>
      <c r="M14" s="23">
        <v>3</v>
      </c>
      <c r="N14" s="24" t="s">
        <v>145</v>
      </c>
      <c r="O14" s="59" t="s">
        <v>334</v>
      </c>
      <c r="P14" s="172"/>
      <c r="Q14" s="174"/>
      <c r="R14" s="203"/>
      <c r="S14" s="176"/>
      <c r="T14" s="1"/>
    </row>
    <row r="15" spans="1:20" ht="51" x14ac:dyDescent="0.2">
      <c r="A15" s="1"/>
      <c r="B15" s="206" t="str">
        <f>'1. Scope &amp; Goals'!B11</f>
        <v>G3: Defined roles and responsibilities for sustainability</v>
      </c>
      <c r="C15" s="208" t="s">
        <v>22</v>
      </c>
      <c r="D15" s="225" t="s">
        <v>24</v>
      </c>
      <c r="E15" s="186" t="s">
        <v>78</v>
      </c>
      <c r="F15" s="187" t="s">
        <v>132</v>
      </c>
      <c r="G15" s="187" t="s">
        <v>133</v>
      </c>
      <c r="H15" s="187" t="s">
        <v>134</v>
      </c>
      <c r="I15" s="187" t="s">
        <v>432</v>
      </c>
      <c r="J15" s="53" t="s">
        <v>136</v>
      </c>
      <c r="K15" s="53" t="s">
        <v>135</v>
      </c>
      <c r="L15" s="53" t="str">
        <f t="shared" si="0"/>
        <v>High</v>
      </c>
      <c r="M15" s="19">
        <v>1</v>
      </c>
      <c r="N15" s="20" t="s">
        <v>147</v>
      </c>
      <c r="O15" s="41" t="s">
        <v>335</v>
      </c>
      <c r="P15" s="190" t="s">
        <v>44</v>
      </c>
      <c r="Q15" s="191"/>
      <c r="R15" s="192" t="s">
        <v>160</v>
      </c>
      <c r="S15" s="195"/>
      <c r="T15" s="1"/>
    </row>
    <row r="16" spans="1:20" ht="51" x14ac:dyDescent="0.2">
      <c r="A16" s="1"/>
      <c r="B16" s="207"/>
      <c r="C16" s="209"/>
      <c r="D16" s="211"/>
      <c r="E16" s="169"/>
      <c r="F16" s="188"/>
      <c r="G16" s="188"/>
      <c r="H16" s="188"/>
      <c r="I16" s="188"/>
      <c r="J16" s="51" t="s">
        <v>136</v>
      </c>
      <c r="K16" s="51" t="s">
        <v>136</v>
      </c>
      <c r="L16" s="51" t="str">
        <f t="shared" si="0"/>
        <v>Medium</v>
      </c>
      <c r="M16" s="21">
        <v>2</v>
      </c>
      <c r="N16" s="22" t="s">
        <v>148</v>
      </c>
      <c r="O16" s="32" t="s">
        <v>336</v>
      </c>
      <c r="P16" s="171"/>
      <c r="Q16" s="173"/>
      <c r="R16" s="193"/>
      <c r="S16" s="175"/>
      <c r="T16" s="1"/>
    </row>
    <row r="17" spans="1:20" ht="52" thickBot="1" x14ac:dyDescent="0.25">
      <c r="A17" s="1"/>
      <c r="B17" s="207"/>
      <c r="C17" s="209"/>
      <c r="D17" s="211"/>
      <c r="E17" s="169"/>
      <c r="F17" s="188"/>
      <c r="G17" s="189"/>
      <c r="H17" s="188"/>
      <c r="I17" s="188"/>
      <c r="J17" s="54" t="s">
        <v>137</v>
      </c>
      <c r="K17" s="54" t="s">
        <v>137</v>
      </c>
      <c r="L17" s="54" t="str">
        <f t="shared" si="0"/>
        <v>Low</v>
      </c>
      <c r="M17" s="38">
        <v>3</v>
      </c>
      <c r="N17" s="39" t="s">
        <v>149</v>
      </c>
      <c r="O17" s="32" t="s">
        <v>337</v>
      </c>
      <c r="P17" s="171"/>
      <c r="Q17" s="173"/>
      <c r="R17" s="193"/>
      <c r="S17" s="175"/>
      <c r="T17" s="1"/>
    </row>
    <row r="18" spans="1:20" ht="68" x14ac:dyDescent="0.2">
      <c r="A18" s="1"/>
      <c r="B18" s="206" t="str">
        <f>'1. Scope &amp; Goals'!B12</f>
        <v>G4: Inclusion of sustainability in internal policies or quality systems</v>
      </c>
      <c r="C18" s="208" t="s">
        <v>22</v>
      </c>
      <c r="D18" s="225" t="s">
        <v>74</v>
      </c>
      <c r="E18" s="239" t="s">
        <v>79</v>
      </c>
      <c r="F18" s="187" t="s">
        <v>132</v>
      </c>
      <c r="G18" s="187" t="s">
        <v>133</v>
      </c>
      <c r="H18" s="187" t="s">
        <v>134</v>
      </c>
      <c r="I18" s="187" t="s">
        <v>433</v>
      </c>
      <c r="J18" s="53" t="s">
        <v>136</v>
      </c>
      <c r="K18" s="53" t="s">
        <v>135</v>
      </c>
      <c r="L18" s="53" t="str">
        <f t="shared" si="0"/>
        <v>High</v>
      </c>
      <c r="M18" s="40">
        <v>1</v>
      </c>
      <c r="N18" s="41" t="s">
        <v>150</v>
      </c>
      <c r="O18" s="41" t="s">
        <v>460</v>
      </c>
      <c r="P18" s="190" t="s">
        <v>44</v>
      </c>
      <c r="Q18" s="191"/>
      <c r="R18" s="192" t="s">
        <v>161</v>
      </c>
      <c r="S18" s="195"/>
      <c r="T18" s="1"/>
    </row>
    <row r="19" spans="1:20" ht="68" x14ac:dyDescent="0.2">
      <c r="A19" s="1"/>
      <c r="B19" s="207"/>
      <c r="C19" s="209"/>
      <c r="D19" s="211"/>
      <c r="E19" s="214"/>
      <c r="F19" s="188"/>
      <c r="G19" s="188"/>
      <c r="H19" s="188"/>
      <c r="I19" s="188"/>
      <c r="J19" s="51" t="s">
        <v>136</v>
      </c>
      <c r="K19" s="51" t="s">
        <v>136</v>
      </c>
      <c r="L19" s="51" t="str">
        <f t="shared" si="0"/>
        <v>Medium</v>
      </c>
      <c r="M19" s="31">
        <v>2</v>
      </c>
      <c r="N19" s="32" t="s">
        <v>151</v>
      </c>
      <c r="O19" s="32" t="s">
        <v>338</v>
      </c>
      <c r="P19" s="171"/>
      <c r="Q19" s="173"/>
      <c r="R19" s="193"/>
      <c r="S19" s="175"/>
      <c r="T19" s="1"/>
    </row>
    <row r="20" spans="1:20" ht="50" customHeight="1" thickBot="1" x14ac:dyDescent="0.25">
      <c r="A20" s="1"/>
      <c r="B20" s="218"/>
      <c r="C20" s="209"/>
      <c r="D20" s="212"/>
      <c r="E20" s="215"/>
      <c r="F20" s="229"/>
      <c r="G20" s="189"/>
      <c r="H20" s="229"/>
      <c r="I20" s="229"/>
      <c r="J20" s="54" t="s">
        <v>137</v>
      </c>
      <c r="K20" s="54" t="s">
        <v>137</v>
      </c>
      <c r="L20" s="54" t="str">
        <f t="shared" si="0"/>
        <v>Low</v>
      </c>
      <c r="M20" s="42">
        <v>3</v>
      </c>
      <c r="N20" s="43" t="s">
        <v>152</v>
      </c>
      <c r="O20" s="43" t="s">
        <v>339</v>
      </c>
      <c r="P20" s="172"/>
      <c r="Q20" s="227"/>
      <c r="R20" s="203"/>
      <c r="S20" s="205"/>
      <c r="T20" s="1"/>
    </row>
    <row r="21" spans="1:20" ht="68" x14ac:dyDescent="0.2">
      <c r="A21" s="1"/>
      <c r="B21" s="206" t="str">
        <f>'1. Scope &amp; Goals'!B13</f>
        <v>G5: Inclusion of sustainability in procurement or supplier management</v>
      </c>
      <c r="C21" s="208" t="s">
        <v>22</v>
      </c>
      <c r="D21" s="225" t="s">
        <v>75</v>
      </c>
      <c r="E21" s="239" t="s">
        <v>80</v>
      </c>
      <c r="F21" s="187" t="s">
        <v>132</v>
      </c>
      <c r="G21" s="187" t="s">
        <v>133</v>
      </c>
      <c r="H21" s="187" t="s">
        <v>153</v>
      </c>
      <c r="I21" s="187" t="s">
        <v>434</v>
      </c>
      <c r="J21" s="53" t="s">
        <v>136</v>
      </c>
      <c r="K21" s="53" t="s">
        <v>135</v>
      </c>
      <c r="L21" s="53" t="str">
        <f t="shared" si="0"/>
        <v>High</v>
      </c>
      <c r="M21" s="40">
        <v>1</v>
      </c>
      <c r="N21" s="81" t="s">
        <v>154</v>
      </c>
      <c r="O21" s="81" t="s">
        <v>340</v>
      </c>
      <c r="P21" s="190" t="s">
        <v>44</v>
      </c>
      <c r="Q21" s="191"/>
      <c r="R21" s="192" t="s">
        <v>162</v>
      </c>
      <c r="S21" s="195"/>
      <c r="T21" s="1"/>
    </row>
    <row r="22" spans="1:20" ht="51" x14ac:dyDescent="0.2">
      <c r="A22" s="1"/>
      <c r="B22" s="207"/>
      <c r="C22" s="209"/>
      <c r="D22" s="211"/>
      <c r="E22" s="214"/>
      <c r="F22" s="188"/>
      <c r="G22" s="188"/>
      <c r="H22" s="188"/>
      <c r="I22" s="188"/>
      <c r="J22" s="51" t="s">
        <v>136</v>
      </c>
      <c r="K22" s="51" t="s">
        <v>136</v>
      </c>
      <c r="L22" s="51" t="str">
        <f t="shared" si="0"/>
        <v>Medium</v>
      </c>
      <c r="M22" s="31">
        <v>2</v>
      </c>
      <c r="N22" s="32" t="s">
        <v>155</v>
      </c>
      <c r="O22" s="32" t="s">
        <v>341</v>
      </c>
      <c r="P22" s="171"/>
      <c r="Q22" s="173"/>
      <c r="R22" s="193"/>
      <c r="S22" s="175"/>
      <c r="T22" s="1"/>
    </row>
    <row r="23" spans="1:20" ht="52" thickBot="1" x14ac:dyDescent="0.25">
      <c r="A23" s="1"/>
      <c r="B23" s="218"/>
      <c r="C23" s="209"/>
      <c r="D23" s="212"/>
      <c r="E23" s="215"/>
      <c r="F23" s="229"/>
      <c r="G23" s="189"/>
      <c r="H23" s="229"/>
      <c r="I23" s="229"/>
      <c r="J23" s="54" t="s">
        <v>137</v>
      </c>
      <c r="K23" s="54" t="s">
        <v>137</v>
      </c>
      <c r="L23" s="54" t="str">
        <f>IF(OR(J23="High", K23="High"),
    IF(AND(J23="High", K23="High"), "High",
        IF(OR(J23="High", K23="Medium", J23="Medium", K23="High"), "High", "Medium")),
    IF(AND(J23="Medium", K23="Medium"), "Medium", "Low"))</f>
        <v>Low</v>
      </c>
      <c r="M23" s="42">
        <v>3</v>
      </c>
      <c r="N23" s="43" t="s">
        <v>156</v>
      </c>
      <c r="O23" s="32" t="s">
        <v>342</v>
      </c>
      <c r="P23" s="172"/>
      <c r="Q23" s="227"/>
      <c r="R23" s="203"/>
      <c r="S23" s="205"/>
      <c r="T23" s="1"/>
    </row>
    <row r="24" spans="1:20" ht="32" customHeight="1" thickBot="1" x14ac:dyDescent="0.25">
      <c r="A24" s="1"/>
      <c r="B24" s="240" t="str">
        <f>'1. Scope &amp; Goals'!B14</f>
        <v>Stakeholder Engagement and Awareness</v>
      </c>
      <c r="C24" s="241"/>
      <c r="D24" s="241"/>
      <c r="E24" s="241"/>
      <c r="F24" s="241"/>
      <c r="G24" s="241"/>
      <c r="H24" s="241"/>
      <c r="I24" s="241"/>
      <c r="J24" s="241"/>
      <c r="K24" s="241"/>
      <c r="L24" s="241"/>
      <c r="M24" s="241"/>
      <c r="N24" s="241"/>
      <c r="O24" s="241"/>
      <c r="P24" s="241"/>
      <c r="Q24" s="241"/>
      <c r="R24" s="241"/>
      <c r="S24" s="242"/>
      <c r="T24" s="1"/>
    </row>
    <row r="25" spans="1:20" ht="35" customHeight="1" x14ac:dyDescent="0.2">
      <c r="A25" s="1"/>
      <c r="B25" s="275" t="str">
        <f>'1. Scope &amp; Goals'!B15</f>
        <v>S1: Sustainability awareness/training for staff</v>
      </c>
      <c r="C25" s="278" t="s">
        <v>92</v>
      </c>
      <c r="D25" s="281" t="s">
        <v>116</v>
      </c>
      <c r="E25" s="186" t="s">
        <v>119</v>
      </c>
      <c r="F25" s="187" t="s">
        <v>132</v>
      </c>
      <c r="G25" s="187" t="s">
        <v>133</v>
      </c>
      <c r="H25" s="187" t="s">
        <v>290</v>
      </c>
      <c r="I25" s="187" t="s">
        <v>146</v>
      </c>
      <c r="J25" s="34" t="s">
        <v>136</v>
      </c>
      <c r="K25" s="34" t="s">
        <v>135</v>
      </c>
      <c r="L25" s="53" t="str">
        <f t="shared" ref="L25:L33" si="1">IF(OR(J25="", K25=""), "",
    IF(OR(J25="High", K25="High"),
        IF(AND(J25="High", K25="High"), "High",
            IF(OR(J25="High", K25="Medium", J25="Medium", K25="High"), "High", "Medium")),
        IF(AND(J25="Medium", K25="Medium"), "Medium", "Low")))</f>
        <v>High</v>
      </c>
      <c r="M25" s="19">
        <v>1</v>
      </c>
      <c r="N25" s="20" t="s">
        <v>281</v>
      </c>
      <c r="O25" s="41" t="s">
        <v>400</v>
      </c>
      <c r="P25" s="190" t="s">
        <v>44</v>
      </c>
      <c r="Q25" s="191"/>
      <c r="R25" s="192" t="s">
        <v>284</v>
      </c>
      <c r="S25" s="195"/>
      <c r="T25" s="1"/>
    </row>
    <row r="26" spans="1:20" ht="33" customHeight="1" x14ac:dyDescent="0.2">
      <c r="A26" s="1"/>
      <c r="B26" s="276"/>
      <c r="C26" s="279"/>
      <c r="D26" s="282"/>
      <c r="E26" s="169"/>
      <c r="F26" s="188"/>
      <c r="G26" s="188"/>
      <c r="H26" s="188"/>
      <c r="I26" s="188"/>
      <c r="J26" s="35" t="s">
        <v>136</v>
      </c>
      <c r="K26" s="35" t="s">
        <v>136</v>
      </c>
      <c r="L26" s="53" t="str">
        <f t="shared" si="1"/>
        <v>Medium</v>
      </c>
      <c r="M26" s="21">
        <v>2</v>
      </c>
      <c r="N26" s="22" t="s">
        <v>282</v>
      </c>
      <c r="O26" s="32" t="s">
        <v>401</v>
      </c>
      <c r="P26" s="171"/>
      <c r="Q26" s="173"/>
      <c r="R26" s="193"/>
      <c r="S26" s="175"/>
      <c r="T26" s="1"/>
    </row>
    <row r="27" spans="1:20" ht="52" thickBot="1" x14ac:dyDescent="0.25">
      <c r="A27" s="1"/>
      <c r="B27" s="277"/>
      <c r="C27" s="280"/>
      <c r="D27" s="283"/>
      <c r="E27" s="170"/>
      <c r="F27" s="189"/>
      <c r="G27" s="189"/>
      <c r="H27" s="229"/>
      <c r="I27" s="229"/>
      <c r="J27" s="35" t="s">
        <v>137</v>
      </c>
      <c r="K27" s="35" t="s">
        <v>137</v>
      </c>
      <c r="L27" s="54" t="str">
        <f t="shared" si="1"/>
        <v>Low</v>
      </c>
      <c r="M27" s="23">
        <v>3</v>
      </c>
      <c r="N27" s="24" t="s">
        <v>283</v>
      </c>
      <c r="O27" s="59" t="s">
        <v>402</v>
      </c>
      <c r="P27" s="172"/>
      <c r="Q27" s="174"/>
      <c r="R27" s="203"/>
      <c r="S27" s="176"/>
      <c r="T27" s="1"/>
    </row>
    <row r="28" spans="1:20" ht="35" customHeight="1" x14ac:dyDescent="0.2">
      <c r="A28" s="1"/>
      <c r="B28" s="275" t="str">
        <f>'1. Scope &amp; Goals'!B16</f>
        <v>S2: Involvement of stakeholders in environmental planning</v>
      </c>
      <c r="C28" s="287" t="s">
        <v>131</v>
      </c>
      <c r="D28" s="281" t="s">
        <v>117</v>
      </c>
      <c r="E28" s="186" t="s">
        <v>120</v>
      </c>
      <c r="F28" s="187" t="s">
        <v>132</v>
      </c>
      <c r="G28" s="187" t="s">
        <v>133</v>
      </c>
      <c r="H28" s="187" t="s">
        <v>134</v>
      </c>
      <c r="I28" s="187" t="s">
        <v>285</v>
      </c>
      <c r="J28" s="34" t="s">
        <v>136</v>
      </c>
      <c r="K28" s="34" t="s">
        <v>135</v>
      </c>
      <c r="L28" s="53" t="str">
        <f t="shared" si="1"/>
        <v>High</v>
      </c>
      <c r="M28" s="19">
        <v>1</v>
      </c>
      <c r="N28" s="20" t="s">
        <v>286</v>
      </c>
      <c r="O28" s="41" t="s">
        <v>403</v>
      </c>
      <c r="P28" s="190" t="s">
        <v>44</v>
      </c>
      <c r="Q28" s="191"/>
      <c r="R28" s="192" t="s">
        <v>289</v>
      </c>
      <c r="S28" s="195"/>
      <c r="T28" s="1"/>
    </row>
    <row r="29" spans="1:20" ht="51" x14ac:dyDescent="0.2">
      <c r="A29" s="1"/>
      <c r="B29" s="276"/>
      <c r="C29" s="288"/>
      <c r="D29" s="282"/>
      <c r="E29" s="169"/>
      <c r="F29" s="188"/>
      <c r="G29" s="188"/>
      <c r="H29" s="188"/>
      <c r="I29" s="188"/>
      <c r="J29" s="35" t="s">
        <v>136</v>
      </c>
      <c r="K29" s="35" t="s">
        <v>136</v>
      </c>
      <c r="L29" s="53" t="str">
        <f t="shared" si="1"/>
        <v>Medium</v>
      </c>
      <c r="M29" s="21">
        <v>2</v>
      </c>
      <c r="N29" s="22" t="s">
        <v>287</v>
      </c>
      <c r="O29" s="32" t="s">
        <v>404</v>
      </c>
      <c r="P29" s="171"/>
      <c r="Q29" s="173"/>
      <c r="R29" s="193"/>
      <c r="S29" s="175"/>
      <c r="T29" s="1"/>
    </row>
    <row r="30" spans="1:20" ht="35" thickBot="1" x14ac:dyDescent="0.25">
      <c r="A30" s="1"/>
      <c r="B30" s="277"/>
      <c r="C30" s="289"/>
      <c r="D30" s="283"/>
      <c r="E30" s="170"/>
      <c r="F30" s="189"/>
      <c r="G30" s="189"/>
      <c r="H30" s="189"/>
      <c r="I30" s="189"/>
      <c r="J30" s="36" t="s">
        <v>137</v>
      </c>
      <c r="K30" s="36" t="s">
        <v>137</v>
      </c>
      <c r="L30" s="54" t="str">
        <f t="shared" si="1"/>
        <v>Low</v>
      </c>
      <c r="M30" s="23">
        <v>3</v>
      </c>
      <c r="N30" s="24" t="s">
        <v>288</v>
      </c>
      <c r="O30" s="59" t="s">
        <v>405</v>
      </c>
      <c r="P30" s="172"/>
      <c r="Q30" s="174"/>
      <c r="R30" s="194"/>
      <c r="S30" s="176"/>
      <c r="T30" s="1"/>
    </row>
    <row r="31" spans="1:20" ht="51" x14ac:dyDescent="0.2">
      <c r="A31" s="1"/>
      <c r="B31" s="275" t="str">
        <f>'1. Scope &amp; Goals'!B17</f>
        <v>S3: Transparent communication of environmental performance</v>
      </c>
      <c r="C31" s="278" t="s">
        <v>86</v>
      </c>
      <c r="D31" s="281" t="s">
        <v>118</v>
      </c>
      <c r="E31" s="186" t="s">
        <v>121</v>
      </c>
      <c r="F31" s="187" t="s">
        <v>132</v>
      </c>
      <c r="G31" s="187" t="s">
        <v>133</v>
      </c>
      <c r="H31" s="187" t="s">
        <v>291</v>
      </c>
      <c r="I31" s="187" t="s">
        <v>292</v>
      </c>
      <c r="J31" s="34" t="s">
        <v>136</v>
      </c>
      <c r="K31" s="34" t="s">
        <v>135</v>
      </c>
      <c r="L31" s="53" t="str">
        <f t="shared" si="1"/>
        <v>High</v>
      </c>
      <c r="M31" s="19">
        <v>1</v>
      </c>
      <c r="N31" s="20" t="s">
        <v>293</v>
      </c>
      <c r="O31" s="41" t="s">
        <v>406</v>
      </c>
      <c r="P31" s="190" t="s">
        <v>44</v>
      </c>
      <c r="Q31" s="191"/>
      <c r="R31" s="192" t="s">
        <v>296</v>
      </c>
      <c r="S31" s="195"/>
      <c r="T31" s="1"/>
    </row>
    <row r="32" spans="1:20" ht="51" x14ac:dyDescent="0.2">
      <c r="A32" s="1"/>
      <c r="B32" s="276"/>
      <c r="C32" s="279"/>
      <c r="D32" s="282"/>
      <c r="E32" s="169"/>
      <c r="F32" s="188"/>
      <c r="G32" s="188"/>
      <c r="H32" s="188"/>
      <c r="I32" s="188"/>
      <c r="J32" s="35" t="s">
        <v>136</v>
      </c>
      <c r="K32" s="35" t="s">
        <v>136</v>
      </c>
      <c r="L32" s="53" t="str">
        <f t="shared" si="1"/>
        <v>Medium</v>
      </c>
      <c r="M32" s="21">
        <v>2</v>
      </c>
      <c r="N32" s="22" t="s">
        <v>294</v>
      </c>
      <c r="O32" s="32" t="s">
        <v>406</v>
      </c>
      <c r="P32" s="171"/>
      <c r="Q32" s="173"/>
      <c r="R32" s="193"/>
      <c r="S32" s="175"/>
      <c r="T32" s="1"/>
    </row>
    <row r="33" spans="1:20" ht="50" customHeight="1" thickBot="1" x14ac:dyDescent="0.25">
      <c r="A33" s="1"/>
      <c r="B33" s="284"/>
      <c r="C33" s="285"/>
      <c r="D33" s="286"/>
      <c r="E33" s="170"/>
      <c r="F33" s="189"/>
      <c r="G33" s="189"/>
      <c r="H33" s="189"/>
      <c r="I33" s="189"/>
      <c r="J33" s="36" t="s">
        <v>137</v>
      </c>
      <c r="K33" s="36" t="s">
        <v>137</v>
      </c>
      <c r="L33" s="54" t="str">
        <f t="shared" si="1"/>
        <v>Low</v>
      </c>
      <c r="M33" s="23">
        <v>3</v>
      </c>
      <c r="N33" s="24" t="s">
        <v>295</v>
      </c>
      <c r="O33" s="59" t="s">
        <v>407</v>
      </c>
      <c r="P33" s="172"/>
      <c r="Q33" s="174"/>
      <c r="R33" s="194"/>
      <c r="S33" s="176"/>
      <c r="T33" s="1"/>
    </row>
    <row r="34" spans="1:20" ht="32" thickBot="1" x14ac:dyDescent="0.25">
      <c r="A34" s="1"/>
      <c r="B34" s="220" t="str">
        <f>'1. Scope &amp; Goals'!B18</f>
        <v>Energy Efficiency and Decarbonisation</v>
      </c>
      <c r="C34" s="221"/>
      <c r="D34" s="221"/>
      <c r="E34" s="221"/>
      <c r="F34" s="221"/>
      <c r="G34" s="221"/>
      <c r="H34" s="221"/>
      <c r="I34" s="221"/>
      <c r="J34" s="221"/>
      <c r="K34" s="221"/>
      <c r="L34" s="221"/>
      <c r="M34" s="221"/>
      <c r="N34" s="221"/>
      <c r="O34" s="221"/>
      <c r="P34" s="221"/>
      <c r="Q34" s="221"/>
      <c r="R34" s="222"/>
      <c r="S34" s="223"/>
      <c r="T34" s="1"/>
    </row>
    <row r="35" spans="1:20" ht="68" x14ac:dyDescent="0.2">
      <c r="A35" s="1"/>
      <c r="B35" s="197" t="str">
        <f>'1. Scope &amp; Goals'!B19</f>
        <v>E1: Adoption of renewable energy sources</v>
      </c>
      <c r="C35" s="224" t="s">
        <v>86</v>
      </c>
      <c r="D35" s="167" t="s">
        <v>37</v>
      </c>
      <c r="E35" s="169" t="s">
        <v>85</v>
      </c>
      <c r="F35" s="188" t="s">
        <v>163</v>
      </c>
      <c r="G35" s="187" t="s">
        <v>164</v>
      </c>
      <c r="H35" s="188" t="s">
        <v>165</v>
      </c>
      <c r="I35" s="188" t="s">
        <v>166</v>
      </c>
      <c r="J35" s="53" t="s">
        <v>135</v>
      </c>
      <c r="K35" s="53" t="s">
        <v>135</v>
      </c>
      <c r="L35" s="53" t="str">
        <f>IF(OR(J35="High", K35="High"),
    IF(AND(J35="High", K35="High"), "High",
        IF(OR(J35="High", K35="Medium", J35="Medium", K35="High"), "High", "Medium")),
    IF(AND(J35="Medium", K35="Medium"), "Medium", "Low"))</f>
        <v>High</v>
      </c>
      <c r="M35" s="55">
        <v>1</v>
      </c>
      <c r="N35" s="81" t="s">
        <v>168</v>
      </c>
      <c r="O35" s="81" t="s">
        <v>343</v>
      </c>
      <c r="P35" s="171" t="s">
        <v>44</v>
      </c>
      <c r="Q35" s="173"/>
      <c r="R35" s="193" t="s">
        <v>167</v>
      </c>
      <c r="S35" s="175"/>
      <c r="T35" s="1"/>
    </row>
    <row r="36" spans="1:20" ht="51" x14ac:dyDescent="0.2">
      <c r="A36" s="1"/>
      <c r="B36" s="197"/>
      <c r="C36" s="200"/>
      <c r="D36" s="167"/>
      <c r="E36" s="169"/>
      <c r="F36" s="188"/>
      <c r="G36" s="188"/>
      <c r="H36" s="188"/>
      <c r="I36" s="188"/>
      <c r="J36" s="51" t="s">
        <v>136</v>
      </c>
      <c r="K36" s="51" t="s">
        <v>136</v>
      </c>
      <c r="L36" s="51" t="str">
        <f t="shared" ref="L36:L52" si="2">IF(OR(J36="High", K36="High"),
    IF(AND(J36="High", K36="High"), "High",
        IF(OR(J36="High", K36="Medium", J36="Medium", K36="High"), "High", "Medium")),
    IF(AND(J36="Medium", K36="Medium"), "Medium", "Low"))</f>
        <v>Medium</v>
      </c>
      <c r="M36" s="21">
        <v>2</v>
      </c>
      <c r="N36" s="81" t="s">
        <v>169</v>
      </c>
      <c r="O36" s="81" t="s">
        <v>344</v>
      </c>
      <c r="P36" s="171"/>
      <c r="Q36" s="173"/>
      <c r="R36" s="193"/>
      <c r="S36" s="175"/>
      <c r="T36" s="1"/>
    </row>
    <row r="37" spans="1:20" ht="35" thickBot="1" x14ac:dyDescent="0.25">
      <c r="A37" s="1"/>
      <c r="B37" s="198"/>
      <c r="C37" s="201"/>
      <c r="D37" s="168"/>
      <c r="E37" s="170"/>
      <c r="F37" s="189"/>
      <c r="G37" s="189"/>
      <c r="H37" s="229"/>
      <c r="I37" s="229"/>
      <c r="J37" s="54" t="s">
        <v>137</v>
      </c>
      <c r="K37" s="54" t="s">
        <v>137</v>
      </c>
      <c r="L37" s="54" t="str">
        <f t="shared" si="2"/>
        <v>Low</v>
      </c>
      <c r="M37" s="23">
        <v>3</v>
      </c>
      <c r="N37" s="81" t="s">
        <v>170</v>
      </c>
      <c r="O37" s="81" t="s">
        <v>345</v>
      </c>
      <c r="P37" s="172"/>
      <c r="Q37" s="174"/>
      <c r="R37" s="203"/>
      <c r="S37" s="176"/>
      <c r="T37" s="1"/>
    </row>
    <row r="38" spans="1:20" ht="51" x14ac:dyDescent="0.2">
      <c r="A38" s="1"/>
      <c r="B38" s="196" t="str">
        <f>'1. Scope &amp; Goals'!B20</f>
        <v>E2: AI-driven workload or energy optimisation</v>
      </c>
      <c r="C38" s="219" t="s">
        <v>38</v>
      </c>
      <c r="D38" s="202" t="s">
        <v>39</v>
      </c>
      <c r="E38" s="186" t="s">
        <v>87</v>
      </c>
      <c r="F38" s="187" t="s">
        <v>163</v>
      </c>
      <c r="G38" s="187" t="s">
        <v>164</v>
      </c>
      <c r="H38" s="187" t="s">
        <v>171</v>
      </c>
      <c r="I38" s="187" t="s">
        <v>172</v>
      </c>
      <c r="J38" s="53" t="s">
        <v>136</v>
      </c>
      <c r="K38" s="53" t="s">
        <v>135</v>
      </c>
      <c r="L38" s="53" t="str">
        <f t="shared" si="2"/>
        <v>High</v>
      </c>
      <c r="M38" s="19">
        <v>1</v>
      </c>
      <c r="N38" s="20" t="s">
        <v>174</v>
      </c>
      <c r="O38" s="41" t="s">
        <v>346</v>
      </c>
      <c r="P38" s="190" t="s">
        <v>44</v>
      </c>
      <c r="Q38" s="191"/>
      <c r="R38" s="192" t="s">
        <v>173</v>
      </c>
      <c r="S38" s="195"/>
      <c r="T38" s="1"/>
    </row>
    <row r="39" spans="1:20" ht="51" x14ac:dyDescent="0.2">
      <c r="A39" s="1"/>
      <c r="B39" s="197"/>
      <c r="C39" s="200"/>
      <c r="D39" s="167"/>
      <c r="E39" s="169"/>
      <c r="F39" s="188"/>
      <c r="G39" s="188"/>
      <c r="H39" s="188"/>
      <c r="I39" s="188"/>
      <c r="J39" s="51" t="s">
        <v>136</v>
      </c>
      <c r="K39" s="51" t="s">
        <v>136</v>
      </c>
      <c r="L39" s="51" t="str">
        <f t="shared" si="2"/>
        <v>Medium</v>
      </c>
      <c r="M39" s="21">
        <v>2</v>
      </c>
      <c r="N39" s="22" t="s">
        <v>175</v>
      </c>
      <c r="O39" s="32" t="s">
        <v>347</v>
      </c>
      <c r="P39" s="171"/>
      <c r="Q39" s="173"/>
      <c r="R39" s="193"/>
      <c r="S39" s="175"/>
      <c r="T39" s="1"/>
    </row>
    <row r="40" spans="1:20" ht="52" thickBot="1" x14ac:dyDescent="0.25">
      <c r="A40" s="1"/>
      <c r="B40" s="198"/>
      <c r="C40" s="201"/>
      <c r="D40" s="168"/>
      <c r="E40" s="170"/>
      <c r="F40" s="189"/>
      <c r="G40" s="189"/>
      <c r="H40" s="189"/>
      <c r="I40" s="189"/>
      <c r="J40" s="54" t="s">
        <v>137</v>
      </c>
      <c r="K40" s="54" t="s">
        <v>137</v>
      </c>
      <c r="L40" s="54" t="str">
        <f t="shared" si="2"/>
        <v>Low</v>
      </c>
      <c r="M40" s="23">
        <v>3</v>
      </c>
      <c r="N40" s="24" t="s">
        <v>176</v>
      </c>
      <c r="O40" s="59" t="s">
        <v>348</v>
      </c>
      <c r="P40" s="172"/>
      <c r="Q40" s="174"/>
      <c r="R40" s="194"/>
      <c r="S40" s="176"/>
      <c r="T40" s="1"/>
    </row>
    <row r="41" spans="1:20" ht="51" customHeight="1" x14ac:dyDescent="0.2">
      <c r="A41" s="1"/>
      <c r="B41" s="196" t="str">
        <f>'1. Scope &amp; Goals'!B21</f>
        <v>E3: Waste heat recovery or reuse strategies</v>
      </c>
      <c r="C41" s="219" t="s">
        <v>38</v>
      </c>
      <c r="D41" s="202" t="s">
        <v>81</v>
      </c>
      <c r="E41" s="186" t="s">
        <v>88</v>
      </c>
      <c r="F41" s="187" t="s">
        <v>163</v>
      </c>
      <c r="G41" s="187" t="s">
        <v>164</v>
      </c>
      <c r="H41" s="187" t="s">
        <v>178</v>
      </c>
      <c r="I41" s="187" t="s">
        <v>179</v>
      </c>
      <c r="J41" s="53" t="s">
        <v>136</v>
      </c>
      <c r="K41" s="53" t="s">
        <v>135</v>
      </c>
      <c r="L41" s="53" t="str">
        <f t="shared" si="2"/>
        <v>High</v>
      </c>
      <c r="M41" s="19">
        <v>1</v>
      </c>
      <c r="N41" s="20" t="s">
        <v>180</v>
      </c>
      <c r="O41" s="41" t="s">
        <v>349</v>
      </c>
      <c r="P41" s="190" t="s">
        <v>44</v>
      </c>
      <c r="Q41" s="191"/>
      <c r="R41" s="192" t="s">
        <v>183</v>
      </c>
      <c r="S41" s="195"/>
      <c r="T41" s="1"/>
    </row>
    <row r="42" spans="1:20" ht="51" x14ac:dyDescent="0.2">
      <c r="A42" s="1"/>
      <c r="B42" s="197"/>
      <c r="C42" s="200"/>
      <c r="D42" s="167"/>
      <c r="E42" s="169"/>
      <c r="F42" s="188"/>
      <c r="G42" s="188"/>
      <c r="H42" s="188"/>
      <c r="I42" s="188"/>
      <c r="J42" s="51" t="s">
        <v>136</v>
      </c>
      <c r="K42" s="51" t="s">
        <v>136</v>
      </c>
      <c r="L42" s="51" t="str">
        <f t="shared" si="2"/>
        <v>Medium</v>
      </c>
      <c r="M42" s="21">
        <v>2</v>
      </c>
      <c r="N42" s="22" t="s">
        <v>181</v>
      </c>
      <c r="O42" s="32" t="s">
        <v>350</v>
      </c>
      <c r="P42" s="171"/>
      <c r="Q42" s="173"/>
      <c r="R42" s="193"/>
      <c r="S42" s="175"/>
      <c r="T42" s="1"/>
    </row>
    <row r="43" spans="1:20" ht="39" customHeight="1" thickBot="1" x14ac:dyDescent="0.25">
      <c r="A43" s="1"/>
      <c r="B43" s="198"/>
      <c r="C43" s="201"/>
      <c r="D43" s="168"/>
      <c r="E43" s="170"/>
      <c r="F43" s="189"/>
      <c r="G43" s="189"/>
      <c r="H43" s="189"/>
      <c r="I43" s="189"/>
      <c r="J43" s="54" t="s">
        <v>137</v>
      </c>
      <c r="K43" s="54" t="s">
        <v>137</v>
      </c>
      <c r="L43" s="54" t="str">
        <f t="shared" si="2"/>
        <v>Low</v>
      </c>
      <c r="M43" s="23">
        <v>3</v>
      </c>
      <c r="N43" s="24" t="s">
        <v>182</v>
      </c>
      <c r="O43" s="59" t="s">
        <v>351</v>
      </c>
      <c r="P43" s="172"/>
      <c r="Q43" s="174"/>
      <c r="R43" s="194"/>
      <c r="S43" s="176"/>
      <c r="T43" s="1"/>
    </row>
    <row r="44" spans="1:20" ht="51" x14ac:dyDescent="0.2">
      <c r="A44" s="1"/>
      <c r="B44" s="196" t="str">
        <f>'1. Scope &amp; Goals'!B22</f>
        <v>E4: Power Usage Effectiveness (PUE) tracking and optimisation</v>
      </c>
      <c r="C44" s="199" t="s">
        <v>86</v>
      </c>
      <c r="D44" s="202" t="s">
        <v>82</v>
      </c>
      <c r="E44" s="186" t="s">
        <v>89</v>
      </c>
      <c r="F44" s="187" t="s">
        <v>163</v>
      </c>
      <c r="G44" s="187" t="s">
        <v>164</v>
      </c>
      <c r="H44" s="187" t="s">
        <v>184</v>
      </c>
      <c r="I44" s="187" t="s">
        <v>185</v>
      </c>
      <c r="J44" s="53" t="s">
        <v>135</v>
      </c>
      <c r="K44" s="53" t="s">
        <v>135</v>
      </c>
      <c r="L44" s="53" t="str">
        <f t="shared" si="2"/>
        <v>High</v>
      </c>
      <c r="M44" s="19">
        <v>1</v>
      </c>
      <c r="N44" s="20" t="s">
        <v>186</v>
      </c>
      <c r="O44" s="41" t="s">
        <v>352</v>
      </c>
      <c r="P44" s="190" t="s">
        <v>44</v>
      </c>
      <c r="Q44" s="191"/>
      <c r="R44" s="192" t="s">
        <v>189</v>
      </c>
      <c r="S44" s="195"/>
      <c r="T44" s="1"/>
    </row>
    <row r="45" spans="1:20" ht="51" x14ac:dyDescent="0.2">
      <c r="A45" s="1"/>
      <c r="B45" s="197"/>
      <c r="C45" s="200"/>
      <c r="D45" s="167"/>
      <c r="E45" s="169"/>
      <c r="F45" s="188"/>
      <c r="G45" s="188"/>
      <c r="H45" s="188"/>
      <c r="I45" s="188"/>
      <c r="J45" s="51" t="s">
        <v>136</v>
      </c>
      <c r="K45" s="51" t="s">
        <v>136</v>
      </c>
      <c r="L45" s="51" t="str">
        <f t="shared" si="2"/>
        <v>Medium</v>
      </c>
      <c r="M45" s="21">
        <v>2</v>
      </c>
      <c r="N45" s="22" t="s">
        <v>187</v>
      </c>
      <c r="O45" s="32" t="s">
        <v>353</v>
      </c>
      <c r="P45" s="171"/>
      <c r="Q45" s="173"/>
      <c r="R45" s="193"/>
      <c r="S45" s="175"/>
      <c r="T45" s="1"/>
    </row>
    <row r="46" spans="1:20" ht="52" thickBot="1" x14ac:dyDescent="0.25">
      <c r="A46" s="1"/>
      <c r="B46" s="198"/>
      <c r="C46" s="201"/>
      <c r="D46" s="168"/>
      <c r="E46" s="170"/>
      <c r="F46" s="189"/>
      <c r="G46" s="189"/>
      <c r="H46" s="189"/>
      <c r="I46" s="189"/>
      <c r="J46" s="54" t="s">
        <v>137</v>
      </c>
      <c r="K46" s="54" t="s">
        <v>137</v>
      </c>
      <c r="L46" s="54" t="str">
        <f t="shared" si="2"/>
        <v>Low</v>
      </c>
      <c r="M46" s="23">
        <v>3</v>
      </c>
      <c r="N46" s="24" t="s">
        <v>188</v>
      </c>
      <c r="O46" s="59" t="s">
        <v>354</v>
      </c>
      <c r="P46" s="172"/>
      <c r="Q46" s="174"/>
      <c r="R46" s="194"/>
      <c r="S46" s="176"/>
      <c r="T46" s="1"/>
    </row>
    <row r="47" spans="1:20" ht="51" customHeight="1" x14ac:dyDescent="0.2">
      <c r="A47" s="1"/>
      <c r="B47" s="196" t="str">
        <f>'1. Scope &amp; Goals'!B23</f>
        <v>E5: Carbon Use Effectiveness (CUE) tracking and reduction</v>
      </c>
      <c r="C47" s="199" t="s">
        <v>86</v>
      </c>
      <c r="D47" s="202" t="s">
        <v>83</v>
      </c>
      <c r="E47" s="186" t="s">
        <v>90</v>
      </c>
      <c r="F47" s="187" t="s">
        <v>163</v>
      </c>
      <c r="G47" s="187" t="s">
        <v>177</v>
      </c>
      <c r="H47" s="187" t="s">
        <v>190</v>
      </c>
      <c r="I47" s="187" t="s">
        <v>191</v>
      </c>
      <c r="J47" s="53" t="s">
        <v>135</v>
      </c>
      <c r="K47" s="53" t="s">
        <v>135</v>
      </c>
      <c r="L47" s="53" t="str">
        <f t="shared" si="2"/>
        <v>High</v>
      </c>
      <c r="M47" s="19">
        <v>1</v>
      </c>
      <c r="N47" s="20" t="s">
        <v>193</v>
      </c>
      <c r="O47" s="41" t="s">
        <v>355</v>
      </c>
      <c r="P47" s="190" t="s">
        <v>44</v>
      </c>
      <c r="Q47" s="191"/>
      <c r="R47" s="192" t="s">
        <v>192</v>
      </c>
      <c r="S47" s="195"/>
      <c r="T47" s="1"/>
    </row>
    <row r="48" spans="1:20" ht="50" customHeight="1" x14ac:dyDescent="0.2">
      <c r="A48" s="1"/>
      <c r="B48" s="197"/>
      <c r="C48" s="200"/>
      <c r="D48" s="167"/>
      <c r="E48" s="169"/>
      <c r="F48" s="188"/>
      <c r="G48" s="188"/>
      <c r="H48" s="188"/>
      <c r="I48" s="188"/>
      <c r="J48" s="51" t="s">
        <v>136</v>
      </c>
      <c r="K48" s="51" t="s">
        <v>136</v>
      </c>
      <c r="L48" s="51" t="str">
        <f t="shared" si="2"/>
        <v>Medium</v>
      </c>
      <c r="M48" s="21">
        <v>2</v>
      </c>
      <c r="N48" s="22" t="s">
        <v>194</v>
      </c>
      <c r="O48" s="32" t="s">
        <v>356</v>
      </c>
      <c r="P48" s="171"/>
      <c r="Q48" s="173"/>
      <c r="R48" s="193"/>
      <c r="S48" s="175"/>
      <c r="T48" s="1"/>
    </row>
    <row r="49" spans="1:20" ht="52" thickBot="1" x14ac:dyDescent="0.25">
      <c r="A49" s="1"/>
      <c r="B49" s="198"/>
      <c r="C49" s="201"/>
      <c r="D49" s="168"/>
      <c r="E49" s="170"/>
      <c r="F49" s="189"/>
      <c r="G49" s="189"/>
      <c r="H49" s="189"/>
      <c r="I49" s="189"/>
      <c r="J49" s="54" t="s">
        <v>137</v>
      </c>
      <c r="K49" s="54" t="s">
        <v>137</v>
      </c>
      <c r="L49" s="54" t="str">
        <f t="shared" si="2"/>
        <v>Low</v>
      </c>
      <c r="M49" s="23">
        <v>3</v>
      </c>
      <c r="N49" s="24" t="s">
        <v>195</v>
      </c>
      <c r="O49" s="59" t="s">
        <v>357</v>
      </c>
      <c r="P49" s="172"/>
      <c r="Q49" s="174"/>
      <c r="R49" s="194"/>
      <c r="S49" s="176"/>
      <c r="T49" s="1"/>
    </row>
    <row r="50" spans="1:20" ht="68" x14ac:dyDescent="0.2">
      <c r="A50" s="1"/>
      <c r="B50" s="196" t="str">
        <f>'1. Scope &amp; Goals'!B24</f>
        <v>E6: Flexible energy usage or smart grid responsiveness</v>
      </c>
      <c r="C50" s="219" t="s">
        <v>38</v>
      </c>
      <c r="D50" s="202" t="s">
        <v>84</v>
      </c>
      <c r="E50" s="186" t="s">
        <v>91</v>
      </c>
      <c r="F50" s="187" t="s">
        <v>163</v>
      </c>
      <c r="G50" s="187" t="s">
        <v>164</v>
      </c>
      <c r="H50" s="187" t="s">
        <v>196</v>
      </c>
      <c r="I50" s="187" t="s">
        <v>197</v>
      </c>
      <c r="J50" s="53" t="s">
        <v>136</v>
      </c>
      <c r="K50" s="53" t="s">
        <v>135</v>
      </c>
      <c r="L50" s="53" t="str">
        <f t="shared" si="2"/>
        <v>High</v>
      </c>
      <c r="M50" s="19">
        <v>1</v>
      </c>
      <c r="N50" s="20" t="s">
        <v>198</v>
      </c>
      <c r="O50" s="41" t="s">
        <v>358</v>
      </c>
      <c r="P50" s="190" t="s">
        <v>44</v>
      </c>
      <c r="Q50" s="191"/>
      <c r="R50" s="192" t="s">
        <v>201</v>
      </c>
      <c r="S50" s="195"/>
      <c r="T50" s="1"/>
    </row>
    <row r="51" spans="1:20" ht="51" x14ac:dyDescent="0.2">
      <c r="A51" s="1"/>
      <c r="B51" s="197"/>
      <c r="C51" s="200"/>
      <c r="D51" s="167"/>
      <c r="E51" s="169"/>
      <c r="F51" s="188"/>
      <c r="G51" s="188"/>
      <c r="H51" s="188"/>
      <c r="I51" s="188"/>
      <c r="J51" s="51" t="s">
        <v>136</v>
      </c>
      <c r="K51" s="51" t="s">
        <v>136</v>
      </c>
      <c r="L51" s="51" t="str">
        <f t="shared" si="2"/>
        <v>Medium</v>
      </c>
      <c r="M51" s="21">
        <v>2</v>
      </c>
      <c r="N51" s="22" t="s">
        <v>199</v>
      </c>
      <c r="O51" s="32" t="s">
        <v>359</v>
      </c>
      <c r="P51" s="171"/>
      <c r="Q51" s="173"/>
      <c r="R51" s="193"/>
      <c r="S51" s="175"/>
      <c r="T51" s="1"/>
    </row>
    <row r="52" spans="1:20" ht="52" thickBot="1" x14ac:dyDescent="0.25">
      <c r="A52" s="1"/>
      <c r="B52" s="198"/>
      <c r="C52" s="201"/>
      <c r="D52" s="168"/>
      <c r="E52" s="170"/>
      <c r="F52" s="189"/>
      <c r="G52" s="189"/>
      <c r="H52" s="189"/>
      <c r="I52" s="189"/>
      <c r="J52" s="54" t="s">
        <v>137</v>
      </c>
      <c r="K52" s="54" t="s">
        <v>137</v>
      </c>
      <c r="L52" s="54" t="str">
        <f t="shared" si="2"/>
        <v>Low</v>
      </c>
      <c r="M52" s="23">
        <v>3</v>
      </c>
      <c r="N52" s="24" t="s">
        <v>200</v>
      </c>
      <c r="O52" s="59" t="s">
        <v>360</v>
      </c>
      <c r="P52" s="172"/>
      <c r="Q52" s="174"/>
      <c r="R52" s="194"/>
      <c r="S52" s="176"/>
      <c r="T52" s="1"/>
    </row>
    <row r="53" spans="1:20" ht="32" thickBot="1" x14ac:dyDescent="0.25">
      <c r="A53" s="1"/>
      <c r="B53" s="243" t="str">
        <f>'1. Scope &amp; Goals'!B25</f>
        <v>Environmental Monitoring and Impact</v>
      </c>
      <c r="C53" s="244"/>
      <c r="D53" s="244"/>
      <c r="E53" s="244"/>
      <c r="F53" s="244"/>
      <c r="G53" s="244"/>
      <c r="H53" s="244"/>
      <c r="I53" s="244"/>
      <c r="J53" s="244"/>
      <c r="K53" s="244"/>
      <c r="L53" s="244"/>
      <c r="M53" s="244"/>
      <c r="N53" s="244"/>
      <c r="O53" s="244"/>
      <c r="P53" s="244"/>
      <c r="Q53" s="244"/>
      <c r="R53" s="245"/>
      <c r="S53" s="246"/>
      <c r="T53" s="1"/>
    </row>
    <row r="54" spans="1:20" ht="51" x14ac:dyDescent="0.2">
      <c r="A54" s="1"/>
      <c r="B54" s="247" t="str">
        <f>'1. Scope &amp; Goals'!B26</f>
        <v>M1: Measurement of environmental KPIs (GHG, energy, water, waste)</v>
      </c>
      <c r="C54" s="249" t="s">
        <v>86</v>
      </c>
      <c r="D54" s="252" t="s">
        <v>97</v>
      </c>
      <c r="E54" s="169" t="s">
        <v>94</v>
      </c>
      <c r="F54" s="188" t="s">
        <v>163</v>
      </c>
      <c r="G54" s="187" t="s">
        <v>177</v>
      </c>
      <c r="H54" s="188" t="s">
        <v>202</v>
      </c>
      <c r="I54" s="188" t="s">
        <v>203</v>
      </c>
      <c r="J54" s="53" t="s">
        <v>135</v>
      </c>
      <c r="K54" s="53" t="s">
        <v>135</v>
      </c>
      <c r="L54" s="53" t="str">
        <f>IF(OR(J54="", K54=""), "",
    IF(OR(J54="High", K54="High"),
        IF(AND(J54="High", K54="High"), "High",
            IF(OR(J54="High", K54="Medium", J54="Medium", K54="High"), "High", "Medium")),
        IF(AND(J54="Medium", K54="Medium"), "Medium", "Low")))</f>
        <v>High</v>
      </c>
      <c r="M54" s="55">
        <v>1</v>
      </c>
      <c r="N54" s="56" t="s">
        <v>205</v>
      </c>
      <c r="O54" s="32" t="s">
        <v>361</v>
      </c>
      <c r="P54" s="171" t="s">
        <v>44</v>
      </c>
      <c r="Q54" s="173"/>
      <c r="R54" s="193" t="s">
        <v>204</v>
      </c>
      <c r="S54" s="175"/>
      <c r="T54" s="1"/>
    </row>
    <row r="55" spans="1:20" ht="51" x14ac:dyDescent="0.2">
      <c r="A55" s="1"/>
      <c r="B55" s="247"/>
      <c r="C55" s="250"/>
      <c r="D55" s="252"/>
      <c r="E55" s="169"/>
      <c r="F55" s="188"/>
      <c r="G55" s="188"/>
      <c r="H55" s="188"/>
      <c r="I55" s="188"/>
      <c r="J55" s="51" t="s">
        <v>136</v>
      </c>
      <c r="K55" s="51" t="s">
        <v>136</v>
      </c>
      <c r="L55" s="53" t="str">
        <f t="shared" ref="L55:L110" si="3">IF(OR(J55="", K55=""), "",
    IF(OR(J55="High", K55="High"),
        IF(AND(J55="High", K55="High"), "High",
            IF(OR(J55="High", K55="Medium", J55="Medium", K55="High"), "High", "Medium")),
        IF(AND(J55="Medium", K55="Medium"), "Medium", "Low")))</f>
        <v>Medium</v>
      </c>
      <c r="M55" s="21">
        <v>2</v>
      </c>
      <c r="N55" s="22" t="s">
        <v>206</v>
      </c>
      <c r="O55" s="32" t="s">
        <v>362</v>
      </c>
      <c r="P55" s="171"/>
      <c r="Q55" s="173"/>
      <c r="R55" s="193"/>
      <c r="S55" s="175"/>
      <c r="T55" s="1"/>
    </row>
    <row r="56" spans="1:20" ht="52" thickBot="1" x14ac:dyDescent="0.25">
      <c r="A56" s="1"/>
      <c r="B56" s="248"/>
      <c r="C56" s="251"/>
      <c r="D56" s="253"/>
      <c r="E56" s="170"/>
      <c r="F56" s="189"/>
      <c r="G56" s="189"/>
      <c r="H56" s="229"/>
      <c r="I56" s="229"/>
      <c r="J56" s="54" t="s">
        <v>137</v>
      </c>
      <c r="K56" s="54" t="s">
        <v>137</v>
      </c>
      <c r="L56" s="54" t="str">
        <f t="shared" si="3"/>
        <v>Low</v>
      </c>
      <c r="M56" s="23">
        <v>3</v>
      </c>
      <c r="N56" s="24" t="s">
        <v>207</v>
      </c>
      <c r="O56" s="59" t="s">
        <v>363</v>
      </c>
      <c r="P56" s="172"/>
      <c r="Q56" s="174"/>
      <c r="R56" s="203"/>
      <c r="S56" s="176"/>
      <c r="T56" s="1"/>
    </row>
    <row r="57" spans="1:20" ht="51" x14ac:dyDescent="0.2">
      <c r="A57" s="1"/>
      <c r="B57" s="254" t="str">
        <f>'1. Scope &amp; Goals'!B27</f>
        <v>M2: Use of environmental metrics in planning and reporting</v>
      </c>
      <c r="C57" s="255" t="s">
        <v>122</v>
      </c>
      <c r="D57" s="256" t="s">
        <v>98</v>
      </c>
      <c r="E57" s="186" t="s">
        <v>95</v>
      </c>
      <c r="F57" s="187" t="s">
        <v>132</v>
      </c>
      <c r="G57" s="187" t="s">
        <v>177</v>
      </c>
      <c r="H57" s="187" t="s">
        <v>208</v>
      </c>
      <c r="I57" s="187" t="s">
        <v>209</v>
      </c>
      <c r="J57" s="53" t="s">
        <v>136</v>
      </c>
      <c r="K57" s="53" t="s">
        <v>135</v>
      </c>
      <c r="L57" s="53" t="str">
        <f t="shared" si="3"/>
        <v>High</v>
      </c>
      <c r="M57" s="19">
        <v>1</v>
      </c>
      <c r="N57" s="20" t="s">
        <v>211</v>
      </c>
      <c r="O57" s="41" t="s">
        <v>364</v>
      </c>
      <c r="P57" s="190" t="s">
        <v>44</v>
      </c>
      <c r="Q57" s="191"/>
      <c r="R57" s="192" t="s">
        <v>210</v>
      </c>
      <c r="S57" s="195"/>
      <c r="T57" s="1"/>
    </row>
    <row r="58" spans="1:20" ht="51" x14ac:dyDescent="0.2">
      <c r="A58" s="1"/>
      <c r="B58" s="247"/>
      <c r="C58" s="250"/>
      <c r="D58" s="252"/>
      <c r="E58" s="169"/>
      <c r="F58" s="188"/>
      <c r="G58" s="188"/>
      <c r="H58" s="188"/>
      <c r="I58" s="188"/>
      <c r="J58" s="51" t="s">
        <v>136</v>
      </c>
      <c r="K58" s="51" t="s">
        <v>136</v>
      </c>
      <c r="L58" s="53" t="str">
        <f t="shared" si="3"/>
        <v>Medium</v>
      </c>
      <c r="M58" s="21">
        <v>2</v>
      </c>
      <c r="N58" s="81" t="s">
        <v>212</v>
      </c>
      <c r="O58" s="81" t="s">
        <v>365</v>
      </c>
      <c r="P58" s="171"/>
      <c r="Q58" s="173"/>
      <c r="R58" s="193"/>
      <c r="S58" s="175"/>
      <c r="T58" s="1"/>
    </row>
    <row r="59" spans="1:20" ht="52" thickBot="1" x14ac:dyDescent="0.25">
      <c r="A59" s="1"/>
      <c r="B59" s="248"/>
      <c r="C59" s="251"/>
      <c r="D59" s="253"/>
      <c r="E59" s="170"/>
      <c r="F59" s="189"/>
      <c r="G59" s="189"/>
      <c r="H59" s="189"/>
      <c r="I59" s="189"/>
      <c r="J59" s="54" t="s">
        <v>137</v>
      </c>
      <c r="K59" s="54" t="s">
        <v>137</v>
      </c>
      <c r="L59" s="54" t="str">
        <f t="shared" si="3"/>
        <v>Low</v>
      </c>
      <c r="M59" s="23">
        <v>3</v>
      </c>
      <c r="N59" s="81" t="s">
        <v>213</v>
      </c>
      <c r="O59" s="81" t="s">
        <v>366</v>
      </c>
      <c r="P59" s="172"/>
      <c r="Q59" s="174"/>
      <c r="R59" s="194"/>
      <c r="S59" s="176"/>
      <c r="T59" s="1"/>
    </row>
    <row r="60" spans="1:20" ht="51" customHeight="1" x14ac:dyDescent="0.2">
      <c r="A60" s="1"/>
      <c r="B60" s="254" t="str">
        <f>'1. Scope &amp; Goals'!B28</f>
        <v>M3: Lifecycle-based environmental impact assessment (based on LCA methodology)</v>
      </c>
      <c r="C60" s="255" t="s">
        <v>122</v>
      </c>
      <c r="D60" s="256" t="s">
        <v>99</v>
      </c>
      <c r="E60" s="186" t="s">
        <v>441</v>
      </c>
      <c r="F60" s="187" t="s">
        <v>132</v>
      </c>
      <c r="G60" s="187" t="s">
        <v>177</v>
      </c>
      <c r="H60" s="187" t="s">
        <v>217</v>
      </c>
      <c r="I60" s="187" t="s">
        <v>218</v>
      </c>
      <c r="J60" s="53" t="s">
        <v>135</v>
      </c>
      <c r="K60" s="53" t="s">
        <v>136</v>
      </c>
      <c r="L60" s="53" t="str">
        <f t="shared" si="3"/>
        <v>High</v>
      </c>
      <c r="M60" s="19">
        <v>1</v>
      </c>
      <c r="N60" s="20" t="s">
        <v>214</v>
      </c>
      <c r="O60" s="41" t="s">
        <v>367</v>
      </c>
      <c r="P60" s="190" t="s">
        <v>44</v>
      </c>
      <c r="Q60" s="191"/>
      <c r="R60" s="192" t="s">
        <v>219</v>
      </c>
      <c r="S60" s="195"/>
      <c r="T60" s="1"/>
    </row>
    <row r="61" spans="1:20" ht="51" x14ac:dyDescent="0.2">
      <c r="A61" s="1"/>
      <c r="B61" s="247"/>
      <c r="C61" s="250"/>
      <c r="D61" s="252"/>
      <c r="E61" s="169"/>
      <c r="F61" s="188"/>
      <c r="G61" s="188"/>
      <c r="H61" s="188"/>
      <c r="I61" s="188"/>
      <c r="J61" s="51" t="s">
        <v>136</v>
      </c>
      <c r="K61" s="51" t="s">
        <v>136</v>
      </c>
      <c r="L61" s="53" t="str">
        <f t="shared" si="3"/>
        <v>Medium</v>
      </c>
      <c r="M61" s="21">
        <v>2</v>
      </c>
      <c r="N61" s="81" t="s">
        <v>215</v>
      </c>
      <c r="O61" s="81" t="s">
        <v>368</v>
      </c>
      <c r="P61" s="171"/>
      <c r="Q61" s="173"/>
      <c r="R61" s="193"/>
      <c r="S61" s="175"/>
      <c r="T61" s="1"/>
    </row>
    <row r="62" spans="1:20" ht="52" thickBot="1" x14ac:dyDescent="0.25">
      <c r="A62" s="1"/>
      <c r="B62" s="248"/>
      <c r="C62" s="251"/>
      <c r="D62" s="253"/>
      <c r="E62" s="170"/>
      <c r="F62" s="189"/>
      <c r="G62" s="189"/>
      <c r="H62" s="189"/>
      <c r="I62" s="189"/>
      <c r="J62" s="54" t="s">
        <v>137</v>
      </c>
      <c r="K62" s="54" t="s">
        <v>137</v>
      </c>
      <c r="L62" s="54" t="str">
        <f t="shared" si="3"/>
        <v>Low</v>
      </c>
      <c r="M62" s="23">
        <v>3</v>
      </c>
      <c r="N62" s="81" t="s">
        <v>216</v>
      </c>
      <c r="O62" s="81" t="s">
        <v>369</v>
      </c>
      <c r="P62" s="172"/>
      <c r="Q62" s="174"/>
      <c r="R62" s="194"/>
      <c r="S62" s="176"/>
      <c r="T62" s="1"/>
    </row>
    <row r="63" spans="1:20" ht="51" x14ac:dyDescent="0.2">
      <c r="A63" s="1"/>
      <c r="B63" s="254" t="str">
        <f>'1. Scope &amp; Goals'!B29</f>
        <v>M4: Use of WUE (Water Usage Effectiveness) or similar water metrics</v>
      </c>
      <c r="C63" s="257" t="s">
        <v>86</v>
      </c>
      <c r="D63" s="256" t="s">
        <v>100</v>
      </c>
      <c r="E63" s="186" t="s">
        <v>106</v>
      </c>
      <c r="F63" s="187" t="s">
        <v>163</v>
      </c>
      <c r="G63" s="187" t="s">
        <v>220</v>
      </c>
      <c r="H63" s="187" t="s">
        <v>221</v>
      </c>
      <c r="I63" s="187" t="s">
        <v>222</v>
      </c>
      <c r="J63" s="53" t="s">
        <v>136</v>
      </c>
      <c r="K63" s="53" t="s">
        <v>135</v>
      </c>
      <c r="L63" s="53" t="str">
        <f t="shared" si="3"/>
        <v>High</v>
      </c>
      <c r="M63" s="19">
        <v>1</v>
      </c>
      <c r="N63" s="20" t="s">
        <v>264</v>
      </c>
      <c r="O63" s="41" t="s">
        <v>370</v>
      </c>
      <c r="P63" s="190" t="s">
        <v>44</v>
      </c>
      <c r="Q63" s="191"/>
      <c r="R63" s="192" t="s">
        <v>223</v>
      </c>
      <c r="S63" s="195"/>
      <c r="T63" s="1"/>
    </row>
    <row r="64" spans="1:20" ht="34" x14ac:dyDescent="0.2">
      <c r="A64" s="1"/>
      <c r="B64" s="247"/>
      <c r="C64" s="250"/>
      <c r="D64" s="252"/>
      <c r="E64" s="169"/>
      <c r="F64" s="188"/>
      <c r="G64" s="188"/>
      <c r="H64" s="188"/>
      <c r="I64" s="188"/>
      <c r="J64" s="51" t="s">
        <v>136</v>
      </c>
      <c r="K64" s="51" t="s">
        <v>136</v>
      </c>
      <c r="L64" s="53" t="str">
        <f t="shared" si="3"/>
        <v>Medium</v>
      </c>
      <c r="M64" s="21">
        <v>2</v>
      </c>
      <c r="N64" s="22" t="s">
        <v>265</v>
      </c>
      <c r="O64" s="32" t="s">
        <v>371</v>
      </c>
      <c r="P64" s="171"/>
      <c r="Q64" s="173"/>
      <c r="R64" s="193"/>
      <c r="S64" s="175"/>
      <c r="T64" s="1"/>
    </row>
    <row r="65" spans="1:20" ht="52" thickBot="1" x14ac:dyDescent="0.25">
      <c r="A65" s="1"/>
      <c r="B65" s="248"/>
      <c r="C65" s="251"/>
      <c r="D65" s="253"/>
      <c r="E65" s="170"/>
      <c r="F65" s="189"/>
      <c r="G65" s="189"/>
      <c r="H65" s="189"/>
      <c r="I65" s="189"/>
      <c r="J65" s="54" t="s">
        <v>137</v>
      </c>
      <c r="K65" s="54" t="s">
        <v>137</v>
      </c>
      <c r="L65" s="54" t="str">
        <f t="shared" si="3"/>
        <v>Low</v>
      </c>
      <c r="M65" s="23">
        <v>3</v>
      </c>
      <c r="N65" s="47" t="s">
        <v>266</v>
      </c>
      <c r="O65" s="47" t="s">
        <v>372</v>
      </c>
      <c r="P65" s="172"/>
      <c r="Q65" s="174"/>
      <c r="R65" s="194"/>
      <c r="S65" s="176"/>
      <c r="T65" s="1"/>
    </row>
    <row r="66" spans="1:20" ht="51" x14ac:dyDescent="0.2">
      <c r="A66" s="1"/>
      <c r="B66" s="254" t="str">
        <f>'1. Scope &amp; Goals'!B30</f>
        <v>M5: Implementation of monitoring tools/platforms</v>
      </c>
      <c r="C66" s="257" t="s">
        <v>92</v>
      </c>
      <c r="D66" s="256" t="s">
        <v>101</v>
      </c>
      <c r="E66" s="186" t="s">
        <v>96</v>
      </c>
      <c r="F66" s="187" t="s">
        <v>163</v>
      </c>
      <c r="G66" s="187" t="s">
        <v>133</v>
      </c>
      <c r="H66" s="187" t="s">
        <v>134</v>
      </c>
      <c r="I66" s="187" t="s">
        <v>224</v>
      </c>
      <c r="J66" s="53" t="s">
        <v>136</v>
      </c>
      <c r="K66" s="53" t="s">
        <v>135</v>
      </c>
      <c r="L66" s="53" t="str">
        <f t="shared" si="3"/>
        <v>High</v>
      </c>
      <c r="M66" s="19">
        <v>1</v>
      </c>
      <c r="N66" s="20" t="s">
        <v>225</v>
      </c>
      <c r="O66" s="41" t="s">
        <v>373</v>
      </c>
      <c r="P66" s="190" t="s">
        <v>44</v>
      </c>
      <c r="Q66" s="191"/>
      <c r="R66" s="192" t="s">
        <v>228</v>
      </c>
      <c r="S66" s="195"/>
      <c r="T66" s="1"/>
    </row>
    <row r="67" spans="1:20" ht="51" x14ac:dyDescent="0.2">
      <c r="A67" s="1"/>
      <c r="B67" s="247"/>
      <c r="C67" s="250"/>
      <c r="D67" s="252"/>
      <c r="E67" s="169"/>
      <c r="F67" s="188"/>
      <c r="G67" s="188"/>
      <c r="H67" s="188"/>
      <c r="I67" s="188"/>
      <c r="J67" s="51" t="s">
        <v>136</v>
      </c>
      <c r="K67" s="51" t="s">
        <v>136</v>
      </c>
      <c r="L67" s="53" t="str">
        <f t="shared" si="3"/>
        <v>Medium</v>
      </c>
      <c r="M67" s="21">
        <v>2</v>
      </c>
      <c r="N67" s="22" t="s">
        <v>226</v>
      </c>
      <c r="O67" s="32" t="s">
        <v>374</v>
      </c>
      <c r="P67" s="171"/>
      <c r="Q67" s="173"/>
      <c r="R67" s="193"/>
      <c r="S67" s="175"/>
      <c r="T67" s="1"/>
    </row>
    <row r="68" spans="1:20" ht="35" thickBot="1" x14ac:dyDescent="0.25">
      <c r="A68" s="1"/>
      <c r="B68" s="248"/>
      <c r="C68" s="251"/>
      <c r="D68" s="253"/>
      <c r="E68" s="170"/>
      <c r="F68" s="189"/>
      <c r="G68" s="189"/>
      <c r="H68" s="189"/>
      <c r="I68" s="189"/>
      <c r="J68" s="54" t="s">
        <v>137</v>
      </c>
      <c r="K68" s="54" t="s">
        <v>137</v>
      </c>
      <c r="L68" s="54" t="str">
        <f t="shared" si="3"/>
        <v>Low</v>
      </c>
      <c r="M68" s="23">
        <v>3</v>
      </c>
      <c r="N68" s="24" t="s">
        <v>227</v>
      </c>
      <c r="O68" s="59" t="s">
        <v>375</v>
      </c>
      <c r="P68" s="172"/>
      <c r="Q68" s="174"/>
      <c r="R68" s="194"/>
      <c r="S68" s="176"/>
      <c r="T68" s="1"/>
    </row>
    <row r="69" spans="1:20" ht="32" customHeight="1" thickBot="1" x14ac:dyDescent="0.25">
      <c r="A69" s="1"/>
      <c r="B69" s="258" t="str">
        <f>'1. Scope &amp; Goals'!B31</f>
        <v>Pollution, Waste, and Circularity</v>
      </c>
      <c r="C69" s="259"/>
      <c r="D69" s="259"/>
      <c r="E69" s="259"/>
      <c r="F69" s="259"/>
      <c r="G69" s="259"/>
      <c r="H69" s="259"/>
      <c r="I69" s="259"/>
      <c r="J69" s="259"/>
      <c r="K69" s="259"/>
      <c r="L69" s="259"/>
      <c r="M69" s="259"/>
      <c r="N69" s="259"/>
      <c r="O69" s="259"/>
      <c r="P69" s="259"/>
      <c r="Q69" s="259"/>
      <c r="R69" s="259"/>
      <c r="S69" s="260"/>
      <c r="T69" s="1"/>
    </row>
    <row r="70" spans="1:20" ht="51" x14ac:dyDescent="0.2">
      <c r="A70" s="1"/>
      <c r="B70" s="261" t="str">
        <f>'1. Scope &amp; Goals'!B32</f>
        <v>P1: Reduction of operational waste (incl. e-waste)</v>
      </c>
      <c r="C70" s="264" t="s">
        <v>92</v>
      </c>
      <c r="D70" s="267" t="s">
        <v>443</v>
      </c>
      <c r="E70" s="186" t="s">
        <v>107</v>
      </c>
      <c r="F70" s="187" t="s">
        <v>163</v>
      </c>
      <c r="G70" s="187" t="s">
        <v>220</v>
      </c>
      <c r="H70" s="187" t="s">
        <v>229</v>
      </c>
      <c r="I70" s="187" t="s">
        <v>230</v>
      </c>
      <c r="J70" s="34" t="s">
        <v>135</v>
      </c>
      <c r="K70" s="34" t="s">
        <v>135</v>
      </c>
      <c r="L70" s="53" t="str">
        <f t="shared" si="3"/>
        <v>High</v>
      </c>
      <c r="M70" s="19">
        <v>1</v>
      </c>
      <c r="N70" s="20" t="s">
        <v>232</v>
      </c>
      <c r="O70" s="41" t="s">
        <v>376</v>
      </c>
      <c r="P70" s="190" t="s">
        <v>44</v>
      </c>
      <c r="Q70" s="191"/>
      <c r="R70" s="192" t="s">
        <v>231</v>
      </c>
      <c r="S70" s="195"/>
      <c r="T70" s="1"/>
    </row>
    <row r="71" spans="1:20" ht="51" x14ac:dyDescent="0.2">
      <c r="A71" s="1"/>
      <c r="B71" s="262"/>
      <c r="C71" s="265"/>
      <c r="D71" s="268"/>
      <c r="E71" s="169"/>
      <c r="F71" s="188"/>
      <c r="G71" s="188"/>
      <c r="H71" s="188"/>
      <c r="I71" s="188"/>
      <c r="J71" s="35" t="s">
        <v>136</v>
      </c>
      <c r="K71" s="35" t="s">
        <v>136</v>
      </c>
      <c r="L71" s="53" t="str">
        <f t="shared" si="3"/>
        <v>Medium</v>
      </c>
      <c r="M71" s="21">
        <v>2</v>
      </c>
      <c r="N71" s="22" t="s">
        <v>233</v>
      </c>
      <c r="O71" s="32" t="s">
        <v>377</v>
      </c>
      <c r="P71" s="171"/>
      <c r="Q71" s="173"/>
      <c r="R71" s="193"/>
      <c r="S71" s="175"/>
      <c r="T71" s="1"/>
    </row>
    <row r="72" spans="1:20" ht="36" customHeight="1" thickBot="1" x14ac:dyDescent="0.25">
      <c r="A72" s="1"/>
      <c r="B72" s="263"/>
      <c r="C72" s="266"/>
      <c r="D72" s="269"/>
      <c r="E72" s="170"/>
      <c r="F72" s="189"/>
      <c r="G72" s="189"/>
      <c r="H72" s="229"/>
      <c r="I72" s="229"/>
      <c r="J72" s="35" t="s">
        <v>137</v>
      </c>
      <c r="K72" s="35" t="s">
        <v>137</v>
      </c>
      <c r="L72" s="54" t="str">
        <f t="shared" si="3"/>
        <v>Low</v>
      </c>
      <c r="M72" s="23">
        <v>3</v>
      </c>
      <c r="N72" s="48" t="s">
        <v>234</v>
      </c>
      <c r="O72" s="43" t="s">
        <v>378</v>
      </c>
      <c r="P72" s="172"/>
      <c r="Q72" s="174"/>
      <c r="R72" s="203"/>
      <c r="S72" s="176"/>
      <c r="T72" s="1"/>
    </row>
    <row r="73" spans="1:20" ht="51" x14ac:dyDescent="0.2">
      <c r="A73" s="1"/>
      <c r="B73" s="261" t="str">
        <f>'1. Scope &amp; Goals'!B33</f>
        <v>P2: End-of-life management for equipment</v>
      </c>
      <c r="C73" s="270" t="s">
        <v>458</v>
      </c>
      <c r="D73" s="267" t="s">
        <v>444</v>
      </c>
      <c r="E73" s="186" t="s">
        <v>108</v>
      </c>
      <c r="F73" s="187" t="s">
        <v>235</v>
      </c>
      <c r="G73" s="187" t="s">
        <v>220</v>
      </c>
      <c r="H73" s="187" t="s">
        <v>236</v>
      </c>
      <c r="I73" s="187" t="s">
        <v>237</v>
      </c>
      <c r="J73" s="34" t="s">
        <v>135</v>
      </c>
      <c r="K73" s="34" t="s">
        <v>135</v>
      </c>
      <c r="L73" s="53" t="str">
        <f t="shared" si="3"/>
        <v>High</v>
      </c>
      <c r="M73" s="19">
        <v>1</v>
      </c>
      <c r="N73" s="20" t="s">
        <v>238</v>
      </c>
      <c r="O73" s="81" t="s">
        <v>379</v>
      </c>
      <c r="P73" s="190" t="s">
        <v>44</v>
      </c>
      <c r="Q73" s="191"/>
      <c r="R73" s="192" t="s">
        <v>241</v>
      </c>
      <c r="S73" s="195"/>
      <c r="T73" s="1"/>
    </row>
    <row r="74" spans="1:20" ht="51" x14ac:dyDescent="0.2">
      <c r="A74" s="1"/>
      <c r="B74" s="262"/>
      <c r="C74" s="265"/>
      <c r="D74" s="268"/>
      <c r="E74" s="169"/>
      <c r="F74" s="188"/>
      <c r="G74" s="188"/>
      <c r="H74" s="188"/>
      <c r="I74" s="188"/>
      <c r="J74" s="35" t="s">
        <v>136</v>
      </c>
      <c r="K74" s="35" t="s">
        <v>136</v>
      </c>
      <c r="L74" s="53" t="str">
        <f t="shared" si="3"/>
        <v>Medium</v>
      </c>
      <c r="M74" s="21">
        <v>2</v>
      </c>
      <c r="N74" s="22" t="s">
        <v>239</v>
      </c>
      <c r="O74" s="32" t="s">
        <v>380</v>
      </c>
      <c r="P74" s="171"/>
      <c r="Q74" s="173"/>
      <c r="R74" s="193"/>
      <c r="S74" s="175"/>
      <c r="T74" s="1"/>
    </row>
    <row r="75" spans="1:20" ht="52" thickBot="1" x14ac:dyDescent="0.25">
      <c r="A75" s="1"/>
      <c r="B75" s="263"/>
      <c r="C75" s="266"/>
      <c r="D75" s="269"/>
      <c r="E75" s="170"/>
      <c r="F75" s="189"/>
      <c r="G75" s="189"/>
      <c r="H75" s="189"/>
      <c r="I75" s="189"/>
      <c r="J75" s="36" t="s">
        <v>137</v>
      </c>
      <c r="K75" s="36" t="s">
        <v>137</v>
      </c>
      <c r="L75" s="54" t="str">
        <f t="shared" si="3"/>
        <v>Low</v>
      </c>
      <c r="M75" s="23">
        <v>3</v>
      </c>
      <c r="N75" s="72" t="s">
        <v>240</v>
      </c>
      <c r="O75" s="73" t="s">
        <v>381</v>
      </c>
      <c r="P75" s="172"/>
      <c r="Q75" s="174"/>
      <c r="R75" s="194"/>
      <c r="S75" s="176"/>
      <c r="T75" s="1"/>
    </row>
    <row r="76" spans="1:20" ht="49" customHeight="1" x14ac:dyDescent="0.2">
      <c r="A76" s="1"/>
      <c r="B76" s="261" t="str">
        <f>'1. Scope &amp; Goals'!B34</f>
        <v>P3: Circular IT practices (reuse, remanufacturing, modularity)</v>
      </c>
      <c r="C76" s="270" t="s">
        <v>458</v>
      </c>
      <c r="D76" s="267" t="s">
        <v>445</v>
      </c>
      <c r="E76" s="186" t="s">
        <v>109</v>
      </c>
      <c r="F76" s="187" t="s">
        <v>242</v>
      </c>
      <c r="G76" s="187" t="s">
        <v>220</v>
      </c>
      <c r="H76" s="187" t="s">
        <v>243</v>
      </c>
      <c r="I76" s="187" t="s">
        <v>244</v>
      </c>
      <c r="J76" s="34" t="s">
        <v>135</v>
      </c>
      <c r="K76" s="34" t="s">
        <v>135</v>
      </c>
      <c r="L76" s="53" t="str">
        <f t="shared" si="3"/>
        <v>High</v>
      </c>
      <c r="M76" s="19">
        <v>1</v>
      </c>
      <c r="N76" s="81" t="s">
        <v>246</v>
      </c>
      <c r="O76" s="81" t="s">
        <v>382</v>
      </c>
      <c r="P76" s="190" t="s">
        <v>44</v>
      </c>
      <c r="Q76" s="191"/>
      <c r="R76" s="192" t="s">
        <v>245</v>
      </c>
      <c r="S76" s="195"/>
      <c r="T76" s="1"/>
    </row>
    <row r="77" spans="1:20" ht="51" x14ac:dyDescent="0.2">
      <c r="A77" s="1"/>
      <c r="B77" s="262"/>
      <c r="C77" s="265"/>
      <c r="D77" s="268"/>
      <c r="E77" s="169"/>
      <c r="F77" s="188"/>
      <c r="G77" s="188"/>
      <c r="H77" s="188"/>
      <c r="I77" s="188"/>
      <c r="J77" s="35" t="s">
        <v>136</v>
      </c>
      <c r="K77" s="35" t="s">
        <v>136</v>
      </c>
      <c r="L77" s="53" t="str">
        <f t="shared" si="3"/>
        <v>Medium</v>
      </c>
      <c r="M77" s="21">
        <v>2</v>
      </c>
      <c r="N77" s="81" t="s">
        <v>247</v>
      </c>
      <c r="O77" s="81" t="s">
        <v>383</v>
      </c>
      <c r="P77" s="171"/>
      <c r="Q77" s="173"/>
      <c r="R77" s="193"/>
      <c r="S77" s="175"/>
      <c r="T77" s="1"/>
    </row>
    <row r="78" spans="1:20" ht="52" thickBot="1" x14ac:dyDescent="0.25">
      <c r="A78" s="1"/>
      <c r="B78" s="263"/>
      <c r="C78" s="266"/>
      <c r="D78" s="269"/>
      <c r="E78" s="170"/>
      <c r="F78" s="189"/>
      <c r="G78" s="189"/>
      <c r="H78" s="189"/>
      <c r="I78" s="189"/>
      <c r="J78" s="36" t="s">
        <v>137</v>
      </c>
      <c r="K78" s="36" t="s">
        <v>137</v>
      </c>
      <c r="L78" s="54" t="str">
        <f t="shared" si="3"/>
        <v>Low</v>
      </c>
      <c r="M78" s="23">
        <v>3</v>
      </c>
      <c r="N78" s="73" t="s">
        <v>248</v>
      </c>
      <c r="O78" s="73" t="s">
        <v>384</v>
      </c>
      <c r="P78" s="172"/>
      <c r="Q78" s="174"/>
      <c r="R78" s="194"/>
      <c r="S78" s="176"/>
      <c r="T78" s="1"/>
    </row>
    <row r="79" spans="1:20" ht="51" x14ac:dyDescent="0.2">
      <c r="A79" s="1"/>
      <c r="B79" s="261" t="str">
        <f>'1. Scope &amp; Goals'!B35</f>
        <v>P4: Pollution control (air, water, soil)</v>
      </c>
      <c r="C79" s="264" t="s">
        <v>92</v>
      </c>
      <c r="D79" s="267" t="s">
        <v>446</v>
      </c>
      <c r="E79" s="186" t="s">
        <v>110</v>
      </c>
      <c r="F79" s="187" t="s">
        <v>163</v>
      </c>
      <c r="G79" s="187" t="s">
        <v>220</v>
      </c>
      <c r="H79" s="187" t="s">
        <v>249</v>
      </c>
      <c r="I79" s="187" t="s">
        <v>250</v>
      </c>
      <c r="J79" s="34" t="s">
        <v>135</v>
      </c>
      <c r="K79" s="34" t="s">
        <v>135</v>
      </c>
      <c r="L79" s="53" t="str">
        <f t="shared" si="3"/>
        <v>High</v>
      </c>
      <c r="M79" s="19">
        <v>1</v>
      </c>
      <c r="N79" s="81" t="s">
        <v>251</v>
      </c>
      <c r="O79" s="81" t="s">
        <v>385</v>
      </c>
      <c r="P79" s="190" t="s">
        <v>44</v>
      </c>
      <c r="Q79" s="191"/>
      <c r="R79" s="192" t="s">
        <v>254</v>
      </c>
      <c r="S79" s="195"/>
      <c r="T79" s="1"/>
    </row>
    <row r="80" spans="1:20" ht="51" x14ac:dyDescent="0.2">
      <c r="A80" s="1"/>
      <c r="B80" s="262"/>
      <c r="C80" s="265"/>
      <c r="D80" s="268"/>
      <c r="E80" s="169"/>
      <c r="F80" s="188"/>
      <c r="G80" s="188"/>
      <c r="H80" s="188"/>
      <c r="I80" s="188"/>
      <c r="J80" s="35" t="s">
        <v>136</v>
      </c>
      <c r="K80" s="35" t="s">
        <v>136</v>
      </c>
      <c r="L80" s="53" t="str">
        <f t="shared" si="3"/>
        <v>Medium</v>
      </c>
      <c r="M80" s="21">
        <v>2</v>
      </c>
      <c r="N80" s="81" t="s">
        <v>252</v>
      </c>
      <c r="O80" s="81" t="s">
        <v>386</v>
      </c>
      <c r="P80" s="171"/>
      <c r="Q80" s="173"/>
      <c r="R80" s="193"/>
      <c r="S80" s="175"/>
      <c r="T80" s="1"/>
    </row>
    <row r="81" spans="1:20" ht="52" thickBot="1" x14ac:dyDescent="0.25">
      <c r="A81" s="1"/>
      <c r="B81" s="263"/>
      <c r="C81" s="266"/>
      <c r="D81" s="269"/>
      <c r="E81" s="170"/>
      <c r="F81" s="189"/>
      <c r="G81" s="189"/>
      <c r="H81" s="189"/>
      <c r="I81" s="189"/>
      <c r="J81" s="36" t="s">
        <v>137</v>
      </c>
      <c r="K81" s="36" t="s">
        <v>137</v>
      </c>
      <c r="L81" s="54" t="str">
        <f t="shared" si="3"/>
        <v>Low</v>
      </c>
      <c r="M81" s="23">
        <v>3</v>
      </c>
      <c r="N81" s="81" t="s">
        <v>253</v>
      </c>
      <c r="O81" s="81" t="s">
        <v>387</v>
      </c>
      <c r="P81" s="172"/>
      <c r="Q81" s="174"/>
      <c r="R81" s="194"/>
      <c r="S81" s="176"/>
      <c r="T81" s="1"/>
    </row>
    <row r="82" spans="1:20" ht="51" x14ac:dyDescent="0.2">
      <c r="A82" s="1"/>
      <c r="B82" s="261" t="str">
        <f>'1. Scope &amp; Goals'!B36</f>
        <v>P5: Use of low-impact or non-toxic materials</v>
      </c>
      <c r="C82" s="264" t="s">
        <v>92</v>
      </c>
      <c r="D82" s="267" t="s">
        <v>447</v>
      </c>
      <c r="E82" s="186" t="s">
        <v>111</v>
      </c>
      <c r="F82" s="187" t="s">
        <v>242</v>
      </c>
      <c r="G82" s="187" t="s">
        <v>220</v>
      </c>
      <c r="H82" s="187" t="s">
        <v>258</v>
      </c>
      <c r="I82" s="187" t="s">
        <v>259</v>
      </c>
      <c r="J82" s="34" t="s">
        <v>136</v>
      </c>
      <c r="K82" s="34" t="s">
        <v>135</v>
      </c>
      <c r="L82" s="53" t="str">
        <f t="shared" si="3"/>
        <v>High</v>
      </c>
      <c r="M82" s="19">
        <v>1</v>
      </c>
      <c r="N82" s="20" t="s">
        <v>255</v>
      </c>
      <c r="O82" s="41" t="s">
        <v>388</v>
      </c>
      <c r="P82" s="190" t="s">
        <v>44</v>
      </c>
      <c r="Q82" s="191"/>
      <c r="R82" s="192" t="s">
        <v>260</v>
      </c>
      <c r="S82" s="195"/>
      <c r="T82" s="1"/>
    </row>
    <row r="83" spans="1:20" ht="51" x14ac:dyDescent="0.2">
      <c r="A83" s="1"/>
      <c r="B83" s="262"/>
      <c r="C83" s="265"/>
      <c r="D83" s="268"/>
      <c r="E83" s="169"/>
      <c r="F83" s="188"/>
      <c r="G83" s="188"/>
      <c r="H83" s="188"/>
      <c r="I83" s="188"/>
      <c r="J83" s="35" t="s">
        <v>136</v>
      </c>
      <c r="K83" s="35" t="s">
        <v>136</v>
      </c>
      <c r="L83" s="53" t="str">
        <f t="shared" si="3"/>
        <v>Medium</v>
      </c>
      <c r="M83" s="21">
        <v>2</v>
      </c>
      <c r="N83" s="22" t="s">
        <v>256</v>
      </c>
      <c r="O83" s="32" t="s">
        <v>389</v>
      </c>
      <c r="P83" s="171"/>
      <c r="Q83" s="173"/>
      <c r="R83" s="193"/>
      <c r="S83" s="175"/>
      <c r="T83" s="1"/>
    </row>
    <row r="84" spans="1:20" ht="52" thickBot="1" x14ac:dyDescent="0.25">
      <c r="A84" s="1"/>
      <c r="B84" s="263"/>
      <c r="C84" s="266"/>
      <c r="D84" s="269"/>
      <c r="E84" s="170"/>
      <c r="F84" s="189"/>
      <c r="G84" s="189"/>
      <c r="H84" s="189"/>
      <c r="I84" s="189"/>
      <c r="J84" s="36" t="s">
        <v>137</v>
      </c>
      <c r="K84" s="36" t="s">
        <v>137</v>
      </c>
      <c r="L84" s="54" t="str">
        <f t="shared" si="3"/>
        <v>Low</v>
      </c>
      <c r="M84" s="23">
        <v>3</v>
      </c>
      <c r="N84" s="24" t="s">
        <v>257</v>
      </c>
      <c r="O84" s="59" t="s">
        <v>390</v>
      </c>
      <c r="P84" s="172"/>
      <c r="Q84" s="174"/>
      <c r="R84" s="194"/>
      <c r="S84" s="176"/>
      <c r="T84" s="1"/>
    </row>
    <row r="85" spans="1:20" ht="32" customHeight="1" thickBot="1" x14ac:dyDescent="0.25">
      <c r="A85" s="1"/>
      <c r="B85" s="271" t="str">
        <f>'1. Scope &amp; Goals'!B37</f>
        <v>Water and Ecosystems</v>
      </c>
      <c r="C85" s="272"/>
      <c r="D85" s="272"/>
      <c r="E85" s="272"/>
      <c r="F85" s="272"/>
      <c r="G85" s="272"/>
      <c r="H85" s="272"/>
      <c r="I85" s="272"/>
      <c r="J85" s="272"/>
      <c r="K85" s="272"/>
      <c r="L85" s="272"/>
      <c r="M85" s="272"/>
      <c r="N85" s="272"/>
      <c r="O85" s="272"/>
      <c r="P85" s="272"/>
      <c r="Q85" s="272"/>
      <c r="R85" s="272"/>
      <c r="S85" s="273"/>
      <c r="T85" s="1"/>
    </row>
    <row r="86" spans="1:20" ht="51" customHeight="1" x14ac:dyDescent="0.2">
      <c r="A86" s="1"/>
      <c r="B86" s="177" t="str">
        <f>'1. Scope &amp; Goals'!B38</f>
        <v>W1: Water usage monitoring and reduction strategies</v>
      </c>
      <c r="C86" s="274" t="s">
        <v>92</v>
      </c>
      <c r="D86" s="183" t="s">
        <v>102</v>
      </c>
      <c r="E86" s="186" t="s">
        <v>112</v>
      </c>
      <c r="F86" s="187" t="s">
        <v>163</v>
      </c>
      <c r="G86" s="187" t="s">
        <v>317</v>
      </c>
      <c r="H86" s="187" t="s">
        <v>261</v>
      </c>
      <c r="I86" s="187" t="s">
        <v>262</v>
      </c>
      <c r="J86" s="34" t="s">
        <v>136</v>
      </c>
      <c r="K86" s="34" t="s">
        <v>135</v>
      </c>
      <c r="L86" s="53" t="str">
        <f t="shared" si="3"/>
        <v>High</v>
      </c>
      <c r="M86" s="19">
        <v>1</v>
      </c>
      <c r="N86" s="20" t="s">
        <v>267</v>
      </c>
      <c r="O86" s="41" t="s">
        <v>391</v>
      </c>
      <c r="P86" s="190" t="s">
        <v>44</v>
      </c>
      <c r="Q86" s="191"/>
      <c r="R86" s="192" t="s">
        <v>263</v>
      </c>
      <c r="S86" s="195"/>
      <c r="T86" s="1"/>
    </row>
    <row r="87" spans="1:20" ht="51" x14ac:dyDescent="0.2">
      <c r="A87" s="1"/>
      <c r="B87" s="178"/>
      <c r="C87" s="181"/>
      <c r="D87" s="184"/>
      <c r="E87" s="169"/>
      <c r="F87" s="188"/>
      <c r="G87" s="188"/>
      <c r="H87" s="188"/>
      <c r="I87" s="188"/>
      <c r="J87" s="35" t="s">
        <v>136</v>
      </c>
      <c r="K87" s="35" t="s">
        <v>136</v>
      </c>
      <c r="L87" s="53" t="str">
        <f t="shared" si="3"/>
        <v>Medium</v>
      </c>
      <c r="M87" s="21">
        <v>2</v>
      </c>
      <c r="N87" s="22" t="s">
        <v>268</v>
      </c>
      <c r="O87" s="32" t="s">
        <v>392</v>
      </c>
      <c r="P87" s="171"/>
      <c r="Q87" s="173"/>
      <c r="R87" s="193"/>
      <c r="S87" s="175"/>
      <c r="T87" s="1"/>
    </row>
    <row r="88" spans="1:20" ht="52" thickBot="1" x14ac:dyDescent="0.25">
      <c r="A88" s="1"/>
      <c r="B88" s="179"/>
      <c r="C88" s="182"/>
      <c r="D88" s="185"/>
      <c r="E88" s="170"/>
      <c r="F88" s="189"/>
      <c r="G88" s="189"/>
      <c r="H88" s="229"/>
      <c r="I88" s="229"/>
      <c r="J88" s="35" t="s">
        <v>137</v>
      </c>
      <c r="K88" s="35" t="s">
        <v>137</v>
      </c>
      <c r="L88" s="54" t="str">
        <f t="shared" si="3"/>
        <v>Low</v>
      </c>
      <c r="M88" s="23">
        <v>3</v>
      </c>
      <c r="N88" s="24" t="s">
        <v>269</v>
      </c>
      <c r="O88" s="59" t="s">
        <v>393</v>
      </c>
      <c r="P88" s="172"/>
      <c r="Q88" s="174"/>
      <c r="R88" s="203"/>
      <c r="S88" s="176"/>
      <c r="T88" s="1"/>
    </row>
    <row r="89" spans="1:20" ht="51" x14ac:dyDescent="0.2">
      <c r="A89" s="1"/>
      <c r="B89" s="177" t="str">
        <f>'1. Scope &amp; Goals'!B39</f>
        <v>W2: Impact on local ecosystems or biodiversity</v>
      </c>
      <c r="C89" s="180" t="s">
        <v>115</v>
      </c>
      <c r="D89" s="183" t="s">
        <v>103</v>
      </c>
      <c r="E89" s="186" t="s">
        <v>113</v>
      </c>
      <c r="F89" s="187" t="s">
        <v>242</v>
      </c>
      <c r="G89" s="187" t="s">
        <v>317</v>
      </c>
      <c r="H89" s="187" t="s">
        <v>134</v>
      </c>
      <c r="I89" s="187" t="s">
        <v>270</v>
      </c>
      <c r="J89" s="34" t="s">
        <v>136</v>
      </c>
      <c r="K89" s="34" t="s">
        <v>135</v>
      </c>
      <c r="L89" s="53" t="str">
        <f t="shared" si="3"/>
        <v>High</v>
      </c>
      <c r="M89" s="19">
        <v>1</v>
      </c>
      <c r="N89" s="20" t="s">
        <v>271</v>
      </c>
      <c r="O89" s="41" t="s">
        <v>394</v>
      </c>
      <c r="P89" s="190" t="s">
        <v>44</v>
      </c>
      <c r="Q89" s="191"/>
      <c r="R89" s="192" t="s">
        <v>274</v>
      </c>
      <c r="S89" s="195"/>
      <c r="T89" s="1"/>
    </row>
    <row r="90" spans="1:20" ht="51" x14ac:dyDescent="0.2">
      <c r="A90" s="1"/>
      <c r="B90" s="178"/>
      <c r="C90" s="181"/>
      <c r="D90" s="184"/>
      <c r="E90" s="169"/>
      <c r="F90" s="188"/>
      <c r="G90" s="188"/>
      <c r="H90" s="188"/>
      <c r="I90" s="188"/>
      <c r="J90" s="35" t="s">
        <v>136</v>
      </c>
      <c r="K90" s="35" t="s">
        <v>136</v>
      </c>
      <c r="L90" s="53" t="str">
        <f t="shared" si="3"/>
        <v>Medium</v>
      </c>
      <c r="M90" s="21">
        <v>2</v>
      </c>
      <c r="N90" s="22" t="s">
        <v>272</v>
      </c>
      <c r="O90" s="32" t="s">
        <v>395</v>
      </c>
      <c r="P90" s="171"/>
      <c r="Q90" s="173"/>
      <c r="R90" s="193"/>
      <c r="S90" s="175"/>
      <c r="T90" s="1"/>
    </row>
    <row r="91" spans="1:20" ht="52" thickBot="1" x14ac:dyDescent="0.25">
      <c r="A91" s="1"/>
      <c r="B91" s="179"/>
      <c r="C91" s="182"/>
      <c r="D91" s="185"/>
      <c r="E91" s="170"/>
      <c r="F91" s="189"/>
      <c r="G91" s="189"/>
      <c r="H91" s="189"/>
      <c r="I91" s="189"/>
      <c r="J91" s="36" t="s">
        <v>137</v>
      </c>
      <c r="K91" s="36" t="s">
        <v>137</v>
      </c>
      <c r="L91" s="54" t="str">
        <f t="shared" si="3"/>
        <v>Low</v>
      </c>
      <c r="M91" s="23">
        <v>3</v>
      </c>
      <c r="N91" s="24" t="s">
        <v>273</v>
      </c>
      <c r="O91" s="59" t="s">
        <v>396</v>
      </c>
      <c r="P91" s="172"/>
      <c r="Q91" s="174"/>
      <c r="R91" s="194"/>
      <c r="S91" s="176"/>
      <c r="T91" s="1"/>
    </row>
    <row r="92" spans="1:20" ht="51" x14ac:dyDescent="0.2">
      <c r="A92" s="1"/>
      <c r="B92" s="177" t="str">
        <f>'1. Scope &amp; Goals'!B40</f>
        <v>W3: Rainwater harvesting, reuse, or runoff management</v>
      </c>
      <c r="C92" s="274" t="s">
        <v>86</v>
      </c>
      <c r="D92" s="183" t="s">
        <v>104</v>
      </c>
      <c r="E92" s="186" t="s">
        <v>114</v>
      </c>
      <c r="F92" s="187" t="s">
        <v>242</v>
      </c>
      <c r="G92" s="187" t="s">
        <v>317</v>
      </c>
      <c r="H92" s="187" t="s">
        <v>275</v>
      </c>
      <c r="I92" s="187" t="s">
        <v>276</v>
      </c>
      <c r="J92" s="34" t="s">
        <v>136</v>
      </c>
      <c r="K92" s="34" t="s">
        <v>135</v>
      </c>
      <c r="L92" s="53" t="str">
        <f t="shared" si="3"/>
        <v>High</v>
      </c>
      <c r="M92" s="19">
        <v>1</v>
      </c>
      <c r="N92" s="20" t="s">
        <v>277</v>
      </c>
      <c r="O92" s="41" t="s">
        <v>397</v>
      </c>
      <c r="P92" s="190" t="s">
        <v>44</v>
      </c>
      <c r="Q92" s="191"/>
      <c r="R92" s="192" t="s">
        <v>280</v>
      </c>
      <c r="S92" s="195"/>
      <c r="T92" s="1"/>
    </row>
    <row r="93" spans="1:20" ht="51" x14ac:dyDescent="0.2">
      <c r="A93" s="1"/>
      <c r="B93" s="178"/>
      <c r="C93" s="181"/>
      <c r="D93" s="184"/>
      <c r="E93" s="169"/>
      <c r="F93" s="188"/>
      <c r="G93" s="188"/>
      <c r="H93" s="188"/>
      <c r="I93" s="188"/>
      <c r="J93" s="35" t="s">
        <v>136</v>
      </c>
      <c r="K93" s="35" t="s">
        <v>136</v>
      </c>
      <c r="L93" s="53" t="str">
        <f t="shared" si="3"/>
        <v>Medium</v>
      </c>
      <c r="M93" s="21">
        <v>2</v>
      </c>
      <c r="N93" s="22" t="s">
        <v>278</v>
      </c>
      <c r="O93" s="32" t="s">
        <v>398</v>
      </c>
      <c r="P93" s="171"/>
      <c r="Q93" s="173"/>
      <c r="R93" s="193"/>
      <c r="S93" s="175"/>
      <c r="T93" s="1"/>
    </row>
    <row r="94" spans="1:20" ht="52" thickBot="1" x14ac:dyDescent="0.25">
      <c r="A94" s="1"/>
      <c r="B94" s="179"/>
      <c r="C94" s="182"/>
      <c r="D94" s="185"/>
      <c r="E94" s="170"/>
      <c r="F94" s="189"/>
      <c r="G94" s="189"/>
      <c r="H94" s="189"/>
      <c r="I94" s="189"/>
      <c r="J94" s="36" t="s">
        <v>137</v>
      </c>
      <c r="K94" s="36" t="s">
        <v>137</v>
      </c>
      <c r="L94" s="54" t="str">
        <f t="shared" si="3"/>
        <v>Low</v>
      </c>
      <c r="M94" s="23">
        <v>3</v>
      </c>
      <c r="N94" s="24" t="s">
        <v>279</v>
      </c>
      <c r="O94" s="59" t="s">
        <v>399</v>
      </c>
      <c r="P94" s="172"/>
      <c r="Q94" s="174"/>
      <c r="R94" s="194"/>
      <c r="S94" s="176"/>
      <c r="T94" s="1"/>
    </row>
    <row r="95" spans="1:20" ht="51" x14ac:dyDescent="0.2">
      <c r="A95" s="1"/>
      <c r="B95" s="177" t="str">
        <f>'1. Scope &amp; Goals'!B41</f>
        <v>W4: Water-based cooling systems and water efficiency strategies</v>
      </c>
      <c r="C95" s="180" t="s">
        <v>115</v>
      </c>
      <c r="D95" s="183" t="s">
        <v>105</v>
      </c>
      <c r="E95" s="186" t="s">
        <v>448</v>
      </c>
      <c r="F95" s="187" t="s">
        <v>163</v>
      </c>
      <c r="G95" s="187" t="s">
        <v>317</v>
      </c>
      <c r="H95" s="187" t="s">
        <v>450</v>
      </c>
      <c r="I95" s="187" t="s">
        <v>449</v>
      </c>
      <c r="J95" s="34" t="s">
        <v>136</v>
      </c>
      <c r="K95" s="34" t="s">
        <v>135</v>
      </c>
      <c r="L95" s="53" t="str">
        <f t="shared" ref="L95:L97" si="4">IF(OR(J95="", K95=""), "",
    IF(OR(J95="High", K95="High"),
        IF(AND(J95="High", K95="High"), "High",
            IF(OR(J95="High", K95="Medium", J95="Medium", K95="High"), "High", "Medium")),
        IF(AND(J95="Medium", K95="Medium"), "Medium", "Low")))</f>
        <v>High</v>
      </c>
      <c r="M95" s="19">
        <v>1</v>
      </c>
      <c r="N95" s="20" t="s">
        <v>451</v>
      </c>
      <c r="O95" s="41" t="s">
        <v>454</v>
      </c>
      <c r="P95" s="190" t="s">
        <v>44</v>
      </c>
      <c r="Q95" s="191"/>
      <c r="R95" s="192" t="s">
        <v>457</v>
      </c>
      <c r="S95" s="195"/>
      <c r="T95" s="1"/>
    </row>
    <row r="96" spans="1:20" ht="68" x14ac:dyDescent="0.2">
      <c r="A96" s="1"/>
      <c r="B96" s="178"/>
      <c r="C96" s="181"/>
      <c r="D96" s="184"/>
      <c r="E96" s="169"/>
      <c r="F96" s="188"/>
      <c r="G96" s="188"/>
      <c r="H96" s="188"/>
      <c r="I96" s="188"/>
      <c r="J96" s="35" t="s">
        <v>136</v>
      </c>
      <c r="K96" s="35" t="s">
        <v>136</v>
      </c>
      <c r="L96" s="53" t="str">
        <f t="shared" si="4"/>
        <v>Medium</v>
      </c>
      <c r="M96" s="21">
        <v>2</v>
      </c>
      <c r="N96" s="22" t="s">
        <v>452</v>
      </c>
      <c r="O96" s="32" t="s">
        <v>455</v>
      </c>
      <c r="P96" s="171"/>
      <c r="Q96" s="173"/>
      <c r="R96" s="193"/>
      <c r="S96" s="175"/>
      <c r="T96" s="1"/>
    </row>
    <row r="97" spans="1:20" ht="69" thickBot="1" x14ac:dyDescent="0.25">
      <c r="A97" s="1"/>
      <c r="B97" s="179"/>
      <c r="C97" s="182"/>
      <c r="D97" s="185"/>
      <c r="E97" s="170"/>
      <c r="F97" s="189"/>
      <c r="G97" s="189"/>
      <c r="H97" s="189"/>
      <c r="I97" s="189"/>
      <c r="J97" s="36" t="s">
        <v>137</v>
      </c>
      <c r="K97" s="36" t="s">
        <v>137</v>
      </c>
      <c r="L97" s="54" t="str">
        <f t="shared" si="4"/>
        <v>Low</v>
      </c>
      <c r="M97" s="23">
        <v>3</v>
      </c>
      <c r="N97" s="24" t="s">
        <v>453</v>
      </c>
      <c r="O97" s="59" t="s">
        <v>456</v>
      </c>
      <c r="P97" s="172"/>
      <c r="Q97" s="174"/>
      <c r="R97" s="194"/>
      <c r="S97" s="176"/>
      <c r="T97" s="1"/>
    </row>
    <row r="98" spans="1:20" ht="32" customHeight="1" thickBot="1" x14ac:dyDescent="0.25">
      <c r="A98" s="1"/>
      <c r="B98" s="290" t="str">
        <f>'1. Scope &amp; Goals'!B42</f>
        <v>Lifecycle Integration</v>
      </c>
      <c r="C98" s="291"/>
      <c r="D98" s="291"/>
      <c r="E98" s="291"/>
      <c r="F98" s="291"/>
      <c r="G98" s="291"/>
      <c r="H98" s="291"/>
      <c r="I98" s="291"/>
      <c r="J98" s="291"/>
      <c r="K98" s="291"/>
      <c r="L98" s="291"/>
      <c r="M98" s="291"/>
      <c r="N98" s="291"/>
      <c r="O98" s="291"/>
      <c r="P98" s="291"/>
      <c r="Q98" s="291"/>
      <c r="R98" s="291"/>
      <c r="S98" s="292"/>
      <c r="T98" s="1"/>
    </row>
    <row r="99" spans="1:20" ht="51" x14ac:dyDescent="0.2">
      <c r="A99" s="1"/>
      <c r="B99" s="293" t="str">
        <f>'1. Scope &amp; Goals'!B43</f>
        <v>L1: Sustainability embedded in the design phase</v>
      </c>
      <c r="C99" s="296" t="s">
        <v>92</v>
      </c>
      <c r="D99" s="299" t="s">
        <v>123</v>
      </c>
      <c r="E99" s="186" t="s">
        <v>127</v>
      </c>
      <c r="F99" s="187" t="s">
        <v>242</v>
      </c>
      <c r="G99" s="187" t="s">
        <v>133</v>
      </c>
      <c r="H99" s="187" t="s">
        <v>134</v>
      </c>
      <c r="I99" s="187" t="s">
        <v>435</v>
      </c>
      <c r="J99" s="34" t="s">
        <v>135</v>
      </c>
      <c r="K99" s="34" t="s">
        <v>135</v>
      </c>
      <c r="L99" s="53" t="str">
        <f t="shared" si="3"/>
        <v>High</v>
      </c>
      <c r="M99" s="19">
        <v>1</v>
      </c>
      <c r="N99" s="20" t="s">
        <v>298</v>
      </c>
      <c r="O99" s="41" t="s">
        <v>408</v>
      </c>
      <c r="P99" s="190" t="s">
        <v>44</v>
      </c>
      <c r="Q99" s="191"/>
      <c r="R99" s="192" t="s">
        <v>297</v>
      </c>
      <c r="S99" s="195"/>
      <c r="T99" s="1"/>
    </row>
    <row r="100" spans="1:20" ht="50" customHeight="1" x14ac:dyDescent="0.2">
      <c r="A100" s="1"/>
      <c r="B100" s="294"/>
      <c r="C100" s="297"/>
      <c r="D100" s="300"/>
      <c r="E100" s="169"/>
      <c r="F100" s="188"/>
      <c r="G100" s="188"/>
      <c r="H100" s="188"/>
      <c r="I100" s="188"/>
      <c r="J100" s="35" t="s">
        <v>136</v>
      </c>
      <c r="K100" s="35" t="s">
        <v>136</v>
      </c>
      <c r="L100" s="53" t="str">
        <f t="shared" si="3"/>
        <v>Medium</v>
      </c>
      <c r="M100" s="21">
        <v>2</v>
      </c>
      <c r="N100" s="22" t="s">
        <v>299</v>
      </c>
      <c r="O100" s="32" t="s">
        <v>409</v>
      </c>
      <c r="P100" s="171"/>
      <c r="Q100" s="173"/>
      <c r="R100" s="193"/>
      <c r="S100" s="175"/>
      <c r="T100" s="1"/>
    </row>
    <row r="101" spans="1:20" ht="52" thickBot="1" x14ac:dyDescent="0.25">
      <c r="A101" s="1"/>
      <c r="B101" s="295"/>
      <c r="C101" s="298"/>
      <c r="D101" s="301"/>
      <c r="E101" s="170"/>
      <c r="F101" s="189"/>
      <c r="G101" s="189"/>
      <c r="H101" s="229"/>
      <c r="I101" s="229"/>
      <c r="J101" s="35" t="s">
        <v>137</v>
      </c>
      <c r="K101" s="35" t="s">
        <v>137</v>
      </c>
      <c r="L101" s="54" t="str">
        <f t="shared" si="3"/>
        <v>Low</v>
      </c>
      <c r="M101" s="23">
        <v>3</v>
      </c>
      <c r="N101" s="24" t="s">
        <v>300</v>
      </c>
      <c r="O101" s="59" t="s">
        <v>410</v>
      </c>
      <c r="P101" s="172"/>
      <c r="Q101" s="174"/>
      <c r="R101" s="203"/>
      <c r="S101" s="176"/>
      <c r="T101" s="1"/>
    </row>
    <row r="102" spans="1:20" ht="51" x14ac:dyDescent="0.2">
      <c r="A102" s="1"/>
      <c r="B102" s="293" t="str">
        <f>'1. Scope &amp; Goals'!B44</f>
        <v>L2: Consideration of sustainability during implementation</v>
      </c>
      <c r="C102" s="303" t="s">
        <v>93</v>
      </c>
      <c r="D102" s="299" t="s">
        <v>124</v>
      </c>
      <c r="E102" s="186" t="s">
        <v>128</v>
      </c>
      <c r="F102" s="187" t="s">
        <v>301</v>
      </c>
      <c r="G102" s="187" t="s">
        <v>133</v>
      </c>
      <c r="H102" s="187" t="s">
        <v>134</v>
      </c>
      <c r="I102" s="187" t="s">
        <v>302</v>
      </c>
      <c r="J102" s="34" t="s">
        <v>135</v>
      </c>
      <c r="K102" s="34" t="s">
        <v>135</v>
      </c>
      <c r="L102" s="53" t="str">
        <f t="shared" si="3"/>
        <v>High</v>
      </c>
      <c r="M102" s="19">
        <v>1</v>
      </c>
      <c r="N102" s="20" t="s">
        <v>304</v>
      </c>
      <c r="O102" s="41" t="s">
        <v>411</v>
      </c>
      <c r="P102" s="190" t="s">
        <v>44</v>
      </c>
      <c r="Q102" s="191"/>
      <c r="R102" s="192" t="s">
        <v>303</v>
      </c>
      <c r="S102" s="195"/>
      <c r="T102" s="1"/>
    </row>
    <row r="103" spans="1:20" ht="51" x14ac:dyDescent="0.2">
      <c r="A103" s="1"/>
      <c r="B103" s="294"/>
      <c r="C103" s="304"/>
      <c r="D103" s="300"/>
      <c r="E103" s="169"/>
      <c r="F103" s="188"/>
      <c r="G103" s="188"/>
      <c r="H103" s="188"/>
      <c r="I103" s="188"/>
      <c r="J103" s="35" t="s">
        <v>136</v>
      </c>
      <c r="K103" s="35" t="s">
        <v>136</v>
      </c>
      <c r="L103" s="53" t="str">
        <f t="shared" si="3"/>
        <v>Medium</v>
      </c>
      <c r="M103" s="21">
        <v>2</v>
      </c>
      <c r="N103" s="22" t="s">
        <v>305</v>
      </c>
      <c r="O103" s="32" t="s">
        <v>412</v>
      </c>
      <c r="P103" s="171"/>
      <c r="Q103" s="173"/>
      <c r="R103" s="193"/>
      <c r="S103" s="175"/>
      <c r="T103" s="1"/>
    </row>
    <row r="104" spans="1:20" ht="52" thickBot="1" x14ac:dyDescent="0.25">
      <c r="A104" s="1"/>
      <c r="B104" s="295"/>
      <c r="C104" s="305"/>
      <c r="D104" s="301"/>
      <c r="E104" s="170"/>
      <c r="F104" s="189"/>
      <c r="G104" s="189"/>
      <c r="H104" s="189"/>
      <c r="I104" s="189"/>
      <c r="J104" s="36" t="s">
        <v>137</v>
      </c>
      <c r="K104" s="36" t="s">
        <v>137</v>
      </c>
      <c r="L104" s="54" t="str">
        <f t="shared" si="3"/>
        <v>Low</v>
      </c>
      <c r="M104" s="23">
        <v>3</v>
      </c>
      <c r="N104" s="24" t="s">
        <v>306</v>
      </c>
      <c r="O104" s="59" t="s">
        <v>413</v>
      </c>
      <c r="P104" s="172"/>
      <c r="Q104" s="174"/>
      <c r="R104" s="194"/>
      <c r="S104" s="176"/>
      <c r="T104" s="1"/>
    </row>
    <row r="105" spans="1:20" ht="51" customHeight="1" x14ac:dyDescent="0.2">
      <c r="A105" s="1"/>
      <c r="B105" s="293" t="str">
        <f>'1. Scope &amp; Goals'!B45</f>
        <v>L3: Operational sustainability practices</v>
      </c>
      <c r="C105" s="303" t="s">
        <v>93</v>
      </c>
      <c r="D105" s="299" t="s">
        <v>125</v>
      </c>
      <c r="E105" s="186" t="s">
        <v>129</v>
      </c>
      <c r="F105" s="187" t="s">
        <v>163</v>
      </c>
      <c r="G105" s="187" t="s">
        <v>133</v>
      </c>
      <c r="H105" s="187" t="s">
        <v>134</v>
      </c>
      <c r="I105" s="187" t="s">
        <v>436</v>
      </c>
      <c r="J105" s="34" t="s">
        <v>135</v>
      </c>
      <c r="K105" s="34" t="s">
        <v>135</v>
      </c>
      <c r="L105" s="53" t="str">
        <f t="shared" si="3"/>
        <v>High</v>
      </c>
      <c r="M105" s="19">
        <v>1</v>
      </c>
      <c r="N105" s="20" t="s">
        <v>307</v>
      </c>
      <c r="O105" s="41" t="s">
        <v>414</v>
      </c>
      <c r="P105" s="190" t="s">
        <v>44</v>
      </c>
      <c r="Q105" s="191"/>
      <c r="R105" s="192" t="s">
        <v>315</v>
      </c>
      <c r="S105" s="195"/>
      <c r="T105" s="1"/>
    </row>
    <row r="106" spans="1:20" ht="51" x14ac:dyDescent="0.2">
      <c r="A106" s="1"/>
      <c r="B106" s="294"/>
      <c r="C106" s="304"/>
      <c r="D106" s="300"/>
      <c r="E106" s="169"/>
      <c r="F106" s="188"/>
      <c r="G106" s="188"/>
      <c r="H106" s="188"/>
      <c r="I106" s="188"/>
      <c r="J106" s="35" t="s">
        <v>136</v>
      </c>
      <c r="K106" s="35" t="s">
        <v>136</v>
      </c>
      <c r="L106" s="53" t="str">
        <f t="shared" si="3"/>
        <v>Medium</v>
      </c>
      <c r="M106" s="21">
        <v>2</v>
      </c>
      <c r="N106" s="22" t="s">
        <v>308</v>
      </c>
      <c r="O106" s="32" t="s">
        <v>415</v>
      </c>
      <c r="P106" s="171"/>
      <c r="Q106" s="173"/>
      <c r="R106" s="193"/>
      <c r="S106" s="175"/>
      <c r="T106" s="1"/>
    </row>
    <row r="107" spans="1:20" ht="35" thickBot="1" x14ac:dyDescent="0.25">
      <c r="A107" s="1"/>
      <c r="B107" s="302"/>
      <c r="C107" s="305"/>
      <c r="D107" s="306"/>
      <c r="E107" s="170"/>
      <c r="F107" s="189"/>
      <c r="G107" s="189"/>
      <c r="H107" s="189"/>
      <c r="I107" s="189"/>
      <c r="J107" s="36" t="s">
        <v>137</v>
      </c>
      <c r="K107" s="36" t="s">
        <v>137</v>
      </c>
      <c r="L107" s="54" t="str">
        <f t="shared" si="3"/>
        <v>Low</v>
      </c>
      <c r="M107" s="23">
        <v>3</v>
      </c>
      <c r="N107" s="24" t="s">
        <v>309</v>
      </c>
      <c r="O107" s="59" t="s">
        <v>416</v>
      </c>
      <c r="P107" s="172"/>
      <c r="Q107" s="174"/>
      <c r="R107" s="194"/>
      <c r="S107" s="176"/>
      <c r="T107" s="1"/>
    </row>
    <row r="108" spans="1:20" ht="68" x14ac:dyDescent="0.2">
      <c r="A108" s="1"/>
      <c r="B108" s="293" t="str">
        <f>'1. Scope &amp; Goals'!B46</f>
        <v>L4: Decommissioning/termination phase planning</v>
      </c>
      <c r="C108" s="303" t="s">
        <v>93</v>
      </c>
      <c r="D108" s="299" t="s">
        <v>126</v>
      </c>
      <c r="E108" s="186" t="s">
        <v>130</v>
      </c>
      <c r="F108" s="187" t="s">
        <v>235</v>
      </c>
      <c r="G108" s="187" t="s">
        <v>220</v>
      </c>
      <c r="H108" s="187" t="s">
        <v>134</v>
      </c>
      <c r="I108" s="187" t="s">
        <v>310</v>
      </c>
      <c r="J108" s="34" t="s">
        <v>135</v>
      </c>
      <c r="K108" s="34" t="s">
        <v>135</v>
      </c>
      <c r="L108" s="53" t="str">
        <f t="shared" si="3"/>
        <v>High</v>
      </c>
      <c r="M108" s="19">
        <v>1</v>
      </c>
      <c r="N108" s="20" t="s">
        <v>311</v>
      </c>
      <c r="O108" s="41" t="s">
        <v>417</v>
      </c>
      <c r="P108" s="190" t="s">
        <v>44</v>
      </c>
      <c r="Q108" s="191"/>
      <c r="R108" s="192" t="s">
        <v>314</v>
      </c>
      <c r="S108" s="195"/>
      <c r="T108" s="1"/>
    </row>
    <row r="109" spans="1:20" ht="52" customHeight="1" x14ac:dyDescent="0.2">
      <c r="A109" s="1"/>
      <c r="B109" s="294"/>
      <c r="C109" s="304"/>
      <c r="D109" s="300"/>
      <c r="E109" s="169"/>
      <c r="F109" s="188"/>
      <c r="G109" s="188"/>
      <c r="H109" s="188"/>
      <c r="I109" s="188"/>
      <c r="J109" s="35" t="s">
        <v>136</v>
      </c>
      <c r="K109" s="35" t="s">
        <v>136</v>
      </c>
      <c r="L109" s="53" t="str">
        <f t="shared" si="3"/>
        <v>Medium</v>
      </c>
      <c r="M109" s="21">
        <v>2</v>
      </c>
      <c r="N109" s="22" t="s">
        <v>312</v>
      </c>
      <c r="O109" s="32" t="s">
        <v>418</v>
      </c>
      <c r="P109" s="171"/>
      <c r="Q109" s="173"/>
      <c r="R109" s="193"/>
      <c r="S109" s="175"/>
      <c r="T109" s="1"/>
    </row>
    <row r="110" spans="1:20" ht="52" thickBot="1" x14ac:dyDescent="0.25">
      <c r="A110" s="1"/>
      <c r="B110" s="295"/>
      <c r="C110" s="305"/>
      <c r="D110" s="301"/>
      <c r="E110" s="308"/>
      <c r="F110" s="229"/>
      <c r="G110" s="229"/>
      <c r="H110" s="229"/>
      <c r="I110" s="229"/>
      <c r="J110" s="37" t="s">
        <v>137</v>
      </c>
      <c r="K110" s="37" t="s">
        <v>137</v>
      </c>
      <c r="L110" s="54" t="str">
        <f t="shared" si="3"/>
        <v>Low</v>
      </c>
      <c r="M110" s="49">
        <v>3</v>
      </c>
      <c r="N110" s="48" t="s">
        <v>313</v>
      </c>
      <c r="O110" s="43" t="s">
        <v>419</v>
      </c>
      <c r="P110" s="307"/>
      <c r="Q110" s="227"/>
      <c r="R110" s="203"/>
      <c r="S110" s="205"/>
      <c r="T110" s="1"/>
    </row>
    <row r="111" spans="1:20" x14ac:dyDescent="0.2">
      <c r="A111" s="1"/>
      <c r="B111" s="1"/>
      <c r="C111" s="1"/>
      <c r="D111" s="1"/>
      <c r="E111" s="1"/>
      <c r="F111" s="1"/>
      <c r="G111" s="1"/>
      <c r="H111" s="1"/>
      <c r="I111" s="1"/>
      <c r="J111" s="1"/>
      <c r="K111" s="1"/>
      <c r="L111" s="1"/>
      <c r="M111" s="1"/>
      <c r="N111" s="61"/>
      <c r="O111" s="61"/>
      <c r="P111" s="75"/>
      <c r="Q111" s="75"/>
      <c r="R111" s="1"/>
      <c r="S111" s="75"/>
      <c r="T111" s="1"/>
    </row>
    <row r="112" spans="1:20" x14ac:dyDescent="0.2">
      <c r="A112" s="1"/>
      <c r="B112" s="1"/>
      <c r="C112" s="1"/>
      <c r="D112" s="1"/>
      <c r="E112" s="1"/>
      <c r="F112" s="1"/>
      <c r="G112" s="1"/>
      <c r="H112" s="1"/>
      <c r="I112" s="1"/>
      <c r="J112" s="1"/>
      <c r="K112" s="1"/>
      <c r="L112" s="1"/>
      <c r="M112" s="1"/>
      <c r="N112" s="61"/>
      <c r="O112" s="61"/>
      <c r="P112" s="75"/>
      <c r="Q112" s="75"/>
      <c r="R112" s="1"/>
      <c r="S112" s="75"/>
      <c r="T112" s="1"/>
    </row>
    <row r="113" spans="1:20" x14ac:dyDescent="0.2">
      <c r="A113" s="1"/>
      <c r="B113" s="1"/>
      <c r="C113" s="1"/>
      <c r="D113" s="1"/>
      <c r="E113" s="1"/>
      <c r="F113" s="1"/>
      <c r="G113" s="1"/>
      <c r="H113" s="1"/>
      <c r="I113" s="1"/>
      <c r="J113" s="1"/>
      <c r="K113" s="1"/>
      <c r="L113" s="1"/>
      <c r="M113" s="1"/>
      <c r="N113" s="61"/>
      <c r="O113" s="61"/>
      <c r="P113" s="75"/>
      <c r="Q113" s="75"/>
      <c r="R113" s="1"/>
      <c r="S113" s="75"/>
      <c r="T113" s="1"/>
    </row>
    <row r="114" spans="1:20" x14ac:dyDescent="0.2">
      <c r="A114" s="1"/>
      <c r="B114" s="1"/>
      <c r="C114" s="1"/>
      <c r="D114" s="1"/>
      <c r="E114" s="1"/>
      <c r="F114" s="1"/>
      <c r="G114" s="1"/>
      <c r="H114" s="1"/>
      <c r="I114" s="1"/>
      <c r="J114" s="1"/>
      <c r="K114" s="1"/>
      <c r="L114" s="1"/>
      <c r="M114" s="1"/>
      <c r="N114" s="61"/>
      <c r="O114" s="61"/>
      <c r="P114" s="75"/>
      <c r="Q114" s="75"/>
      <c r="R114" s="1"/>
      <c r="S114" s="75"/>
      <c r="T114" s="1"/>
    </row>
  </sheetData>
  <mergeCells count="404">
    <mergeCell ref="R108:R110"/>
    <mergeCell ref="S108:S110"/>
    <mergeCell ref="G108:G110"/>
    <mergeCell ref="H108:H110"/>
    <mergeCell ref="I108:I110"/>
    <mergeCell ref="P108:P110"/>
    <mergeCell ref="Q108:Q110"/>
    <mergeCell ref="B108:B110"/>
    <mergeCell ref="C108:C110"/>
    <mergeCell ref="D108:D110"/>
    <mergeCell ref="E108:E110"/>
    <mergeCell ref="F108:F110"/>
    <mergeCell ref="R102:R104"/>
    <mergeCell ref="S102:S104"/>
    <mergeCell ref="B105:B107"/>
    <mergeCell ref="C105:C107"/>
    <mergeCell ref="D105:D107"/>
    <mergeCell ref="E105:E107"/>
    <mergeCell ref="F105:F107"/>
    <mergeCell ref="G105:G107"/>
    <mergeCell ref="H105:H107"/>
    <mergeCell ref="I105:I107"/>
    <mergeCell ref="P105:P107"/>
    <mergeCell ref="Q105:Q107"/>
    <mergeCell ref="R105:R107"/>
    <mergeCell ref="S105:S107"/>
    <mergeCell ref="G102:G104"/>
    <mergeCell ref="H102:H104"/>
    <mergeCell ref="I102:I104"/>
    <mergeCell ref="P102:P104"/>
    <mergeCell ref="Q102:Q104"/>
    <mergeCell ref="B102:B104"/>
    <mergeCell ref="C102:C104"/>
    <mergeCell ref="D102:D104"/>
    <mergeCell ref="E102:E104"/>
    <mergeCell ref="F102:F104"/>
    <mergeCell ref="D28:D30"/>
    <mergeCell ref="E28:E30"/>
    <mergeCell ref="F28:F30"/>
    <mergeCell ref="B98:S98"/>
    <mergeCell ref="B99:B101"/>
    <mergeCell ref="C99:C101"/>
    <mergeCell ref="D99:D101"/>
    <mergeCell ref="E99:E101"/>
    <mergeCell ref="F99:F101"/>
    <mergeCell ref="G99:G101"/>
    <mergeCell ref="H99:H101"/>
    <mergeCell ref="I99:I101"/>
    <mergeCell ref="P99:P101"/>
    <mergeCell ref="Q99:Q101"/>
    <mergeCell ref="R99:R101"/>
    <mergeCell ref="S99:S101"/>
    <mergeCell ref="R89:R91"/>
    <mergeCell ref="S89:S91"/>
    <mergeCell ref="B92:B94"/>
    <mergeCell ref="C92:C94"/>
    <mergeCell ref="D92:D94"/>
    <mergeCell ref="E92:E94"/>
    <mergeCell ref="F92:F94"/>
    <mergeCell ref="G92:G94"/>
    <mergeCell ref="Q25:Q27"/>
    <mergeCell ref="R25:R27"/>
    <mergeCell ref="S25:S27"/>
    <mergeCell ref="R28:R30"/>
    <mergeCell ref="S28:S30"/>
    <mergeCell ref="B31:B33"/>
    <mergeCell ref="C31:C33"/>
    <mergeCell ref="D31:D33"/>
    <mergeCell ref="E31:E33"/>
    <mergeCell ref="F31:F33"/>
    <mergeCell ref="G31:G33"/>
    <mergeCell ref="H31:H33"/>
    <mergeCell ref="I31:I33"/>
    <mergeCell ref="P31:P33"/>
    <mergeCell ref="Q31:Q33"/>
    <mergeCell ref="R31:R33"/>
    <mergeCell ref="S31:S33"/>
    <mergeCell ref="G28:G30"/>
    <mergeCell ref="H28:H30"/>
    <mergeCell ref="I28:I30"/>
    <mergeCell ref="P28:P30"/>
    <mergeCell ref="Q28:Q30"/>
    <mergeCell ref="B28:B30"/>
    <mergeCell ref="C28:C30"/>
    <mergeCell ref="B25:B27"/>
    <mergeCell ref="C25:C27"/>
    <mergeCell ref="D25:D27"/>
    <mergeCell ref="E25:E27"/>
    <mergeCell ref="F25:F27"/>
    <mergeCell ref="G25:G27"/>
    <mergeCell ref="H25:H27"/>
    <mergeCell ref="I25:I27"/>
    <mergeCell ref="P25:P27"/>
    <mergeCell ref="H92:H94"/>
    <mergeCell ref="I92:I94"/>
    <mergeCell ref="P92:P94"/>
    <mergeCell ref="Q92:Q94"/>
    <mergeCell ref="R92:R94"/>
    <mergeCell ref="S92:S94"/>
    <mergeCell ref="G89:G91"/>
    <mergeCell ref="H89:H91"/>
    <mergeCell ref="I89:I91"/>
    <mergeCell ref="P89:P91"/>
    <mergeCell ref="Q89:Q91"/>
    <mergeCell ref="B89:B91"/>
    <mergeCell ref="C89:C91"/>
    <mergeCell ref="D89:D91"/>
    <mergeCell ref="E89:E91"/>
    <mergeCell ref="F89:F91"/>
    <mergeCell ref="B85:S85"/>
    <mergeCell ref="B86:B88"/>
    <mergeCell ref="C86:C88"/>
    <mergeCell ref="D86:D88"/>
    <mergeCell ref="E86:E88"/>
    <mergeCell ref="F86:F88"/>
    <mergeCell ref="G86:G88"/>
    <mergeCell ref="H86:H88"/>
    <mergeCell ref="I86:I88"/>
    <mergeCell ref="P86:P88"/>
    <mergeCell ref="Q86:Q88"/>
    <mergeCell ref="R86:R88"/>
    <mergeCell ref="S86:S88"/>
    <mergeCell ref="R79:R81"/>
    <mergeCell ref="S79:S81"/>
    <mergeCell ref="B82:B84"/>
    <mergeCell ref="C82:C84"/>
    <mergeCell ref="D82:D84"/>
    <mergeCell ref="E82:E84"/>
    <mergeCell ref="F82:F84"/>
    <mergeCell ref="G82:G84"/>
    <mergeCell ref="H82:H84"/>
    <mergeCell ref="I82:I84"/>
    <mergeCell ref="P82:P84"/>
    <mergeCell ref="Q82:Q84"/>
    <mergeCell ref="R82:R84"/>
    <mergeCell ref="S82:S84"/>
    <mergeCell ref="G79:G81"/>
    <mergeCell ref="H79:H81"/>
    <mergeCell ref="I79:I81"/>
    <mergeCell ref="P79:P81"/>
    <mergeCell ref="Q79:Q81"/>
    <mergeCell ref="B79:B81"/>
    <mergeCell ref="C79:C81"/>
    <mergeCell ref="D79:D81"/>
    <mergeCell ref="E79:E81"/>
    <mergeCell ref="F79:F81"/>
    <mergeCell ref="R73:R75"/>
    <mergeCell ref="S73:S75"/>
    <mergeCell ref="B76:B78"/>
    <mergeCell ref="C76:C78"/>
    <mergeCell ref="D76:D78"/>
    <mergeCell ref="E76:E78"/>
    <mergeCell ref="F76:F78"/>
    <mergeCell ref="G76:G78"/>
    <mergeCell ref="H76:H78"/>
    <mergeCell ref="I76:I78"/>
    <mergeCell ref="P76:P78"/>
    <mergeCell ref="Q76:Q78"/>
    <mergeCell ref="R76:R78"/>
    <mergeCell ref="S76:S78"/>
    <mergeCell ref="G73:G75"/>
    <mergeCell ref="H73:H75"/>
    <mergeCell ref="I73:I75"/>
    <mergeCell ref="P73:P75"/>
    <mergeCell ref="Q73:Q75"/>
    <mergeCell ref="B73:B75"/>
    <mergeCell ref="C73:C75"/>
    <mergeCell ref="D73:D75"/>
    <mergeCell ref="E73:E75"/>
    <mergeCell ref="F73:F75"/>
    <mergeCell ref="B69:S69"/>
    <mergeCell ref="B70:B72"/>
    <mergeCell ref="C70:C72"/>
    <mergeCell ref="D70:D72"/>
    <mergeCell ref="E70:E72"/>
    <mergeCell ref="F70:F72"/>
    <mergeCell ref="G70:G72"/>
    <mergeCell ref="H70:H72"/>
    <mergeCell ref="I70:I72"/>
    <mergeCell ref="P70:P72"/>
    <mergeCell ref="Q70:Q72"/>
    <mergeCell ref="R70:R72"/>
    <mergeCell ref="S70:S72"/>
    <mergeCell ref="R63:R65"/>
    <mergeCell ref="S63:S65"/>
    <mergeCell ref="B66:B68"/>
    <mergeCell ref="C66:C68"/>
    <mergeCell ref="D66:D68"/>
    <mergeCell ref="E66:E68"/>
    <mergeCell ref="F66:F68"/>
    <mergeCell ref="G66:G68"/>
    <mergeCell ref="H66:H68"/>
    <mergeCell ref="I66:I68"/>
    <mergeCell ref="P66:P68"/>
    <mergeCell ref="Q66:Q68"/>
    <mergeCell ref="R66:R68"/>
    <mergeCell ref="S66:S68"/>
    <mergeCell ref="G63:G65"/>
    <mergeCell ref="H63:H65"/>
    <mergeCell ref="I63:I65"/>
    <mergeCell ref="P63:P65"/>
    <mergeCell ref="Q63:Q65"/>
    <mergeCell ref="B63:B65"/>
    <mergeCell ref="C63:C65"/>
    <mergeCell ref="D63:D65"/>
    <mergeCell ref="E63:E65"/>
    <mergeCell ref="F63:F65"/>
    <mergeCell ref="R57:R59"/>
    <mergeCell ref="S57:S59"/>
    <mergeCell ref="B60:B62"/>
    <mergeCell ref="C60:C62"/>
    <mergeCell ref="D60:D62"/>
    <mergeCell ref="E60:E62"/>
    <mergeCell ref="F60:F62"/>
    <mergeCell ref="G60:G62"/>
    <mergeCell ref="H60:H62"/>
    <mergeCell ref="I60:I62"/>
    <mergeCell ref="P60:P62"/>
    <mergeCell ref="Q60:Q62"/>
    <mergeCell ref="R60:R62"/>
    <mergeCell ref="S60:S62"/>
    <mergeCell ref="G57:G59"/>
    <mergeCell ref="H57:H59"/>
    <mergeCell ref="I57:I59"/>
    <mergeCell ref="P57:P59"/>
    <mergeCell ref="Q57:Q59"/>
    <mergeCell ref="B57:B59"/>
    <mergeCell ref="C57:C59"/>
    <mergeCell ref="D57:D59"/>
    <mergeCell ref="E57:E59"/>
    <mergeCell ref="F57:F59"/>
    <mergeCell ref="B47:B49"/>
    <mergeCell ref="C47:C49"/>
    <mergeCell ref="D47:D49"/>
    <mergeCell ref="E47:E49"/>
    <mergeCell ref="F47:F49"/>
    <mergeCell ref="B53:S53"/>
    <mergeCell ref="B54:B56"/>
    <mergeCell ref="C54:C56"/>
    <mergeCell ref="D54:D56"/>
    <mergeCell ref="E54:E56"/>
    <mergeCell ref="F54:F56"/>
    <mergeCell ref="G54:G56"/>
    <mergeCell ref="H54:H56"/>
    <mergeCell ref="I54:I56"/>
    <mergeCell ref="P54:P56"/>
    <mergeCell ref="Q54:Q56"/>
    <mergeCell ref="R54:R56"/>
    <mergeCell ref="S54:S56"/>
    <mergeCell ref="B41:B43"/>
    <mergeCell ref="C41:C43"/>
    <mergeCell ref="D41:D43"/>
    <mergeCell ref="E41:E43"/>
    <mergeCell ref="F41:F43"/>
    <mergeCell ref="R47:R49"/>
    <mergeCell ref="S47:S49"/>
    <mergeCell ref="B50:B52"/>
    <mergeCell ref="C50:C52"/>
    <mergeCell ref="D50:D52"/>
    <mergeCell ref="E50:E52"/>
    <mergeCell ref="F50:F52"/>
    <mergeCell ref="G50:G52"/>
    <mergeCell ref="H50:H52"/>
    <mergeCell ref="I50:I52"/>
    <mergeCell ref="P50:P52"/>
    <mergeCell ref="Q50:Q52"/>
    <mergeCell ref="R50:R52"/>
    <mergeCell ref="S50:S52"/>
    <mergeCell ref="G47:G49"/>
    <mergeCell ref="H47:H49"/>
    <mergeCell ref="I47:I49"/>
    <mergeCell ref="P47:P49"/>
    <mergeCell ref="Q47:Q49"/>
    <mergeCell ref="G44:G46"/>
    <mergeCell ref="H44:H46"/>
    <mergeCell ref="I44:I46"/>
    <mergeCell ref="P44:P46"/>
    <mergeCell ref="Q44:Q46"/>
    <mergeCell ref="R44:R46"/>
    <mergeCell ref="S44:S46"/>
    <mergeCell ref="G41:G43"/>
    <mergeCell ref="H41:H43"/>
    <mergeCell ref="I41:I43"/>
    <mergeCell ref="P41:P43"/>
    <mergeCell ref="Q41:Q43"/>
    <mergeCell ref="P21:P23"/>
    <mergeCell ref="Q21:Q23"/>
    <mergeCell ref="R21:R23"/>
    <mergeCell ref="R35:R37"/>
    <mergeCell ref="R38:R40"/>
    <mergeCell ref="S21:S23"/>
    <mergeCell ref="B18:B20"/>
    <mergeCell ref="C18:C20"/>
    <mergeCell ref="D18:D20"/>
    <mergeCell ref="E18:E20"/>
    <mergeCell ref="F18:F20"/>
    <mergeCell ref="G18:G20"/>
    <mergeCell ref="H18:H20"/>
    <mergeCell ref="I18:I20"/>
    <mergeCell ref="P18:P20"/>
    <mergeCell ref="Q18:Q20"/>
    <mergeCell ref="R18:R20"/>
    <mergeCell ref="S18:S20"/>
    <mergeCell ref="B21:B23"/>
    <mergeCell ref="C21:C23"/>
    <mergeCell ref="D21:D23"/>
    <mergeCell ref="E21:E23"/>
    <mergeCell ref="F21:F23"/>
    <mergeCell ref="B24:S24"/>
    <mergeCell ref="F6:F8"/>
    <mergeCell ref="G6:G8"/>
    <mergeCell ref="I6:I8"/>
    <mergeCell ref="F9:F11"/>
    <mergeCell ref="G9:G11"/>
    <mergeCell ref="I9:I11"/>
    <mergeCell ref="F12:F14"/>
    <mergeCell ref="G12:G14"/>
    <mergeCell ref="I12:I14"/>
    <mergeCell ref="F15:F17"/>
    <mergeCell ref="G15:G17"/>
    <mergeCell ref="I15:I17"/>
    <mergeCell ref="F35:F37"/>
    <mergeCell ref="G35:G37"/>
    <mergeCell ref="I35:I37"/>
    <mergeCell ref="F38:F40"/>
    <mergeCell ref="G38:G40"/>
    <mergeCell ref="I38:I40"/>
    <mergeCell ref="H35:H37"/>
    <mergeCell ref="H38:H40"/>
    <mergeCell ref="G21:G23"/>
    <mergeCell ref="H21:H23"/>
    <mergeCell ref="I21:I23"/>
    <mergeCell ref="Q9:Q11"/>
    <mergeCell ref="H6:H8"/>
    <mergeCell ref="H9:H11"/>
    <mergeCell ref="H12:H14"/>
    <mergeCell ref="H15:H17"/>
    <mergeCell ref="A1:T1"/>
    <mergeCell ref="A2:T2"/>
    <mergeCell ref="C6:C8"/>
    <mergeCell ref="D6:D8"/>
    <mergeCell ref="P6:P8"/>
    <mergeCell ref="Q6:Q8"/>
    <mergeCell ref="R6:R8"/>
    <mergeCell ref="Q15:Q17"/>
    <mergeCell ref="B5:S5"/>
    <mergeCell ref="E6:E8"/>
    <mergeCell ref="S6:S8"/>
    <mergeCell ref="B12:B14"/>
    <mergeCell ref="C12:C14"/>
    <mergeCell ref="D12:D14"/>
    <mergeCell ref="E12:E14"/>
    <mergeCell ref="P12:P14"/>
    <mergeCell ref="Q12:Q14"/>
    <mergeCell ref="S12:S14"/>
    <mergeCell ref="R9:R11"/>
    <mergeCell ref="R12:R14"/>
    <mergeCell ref="R15:R17"/>
    <mergeCell ref="S9:S11"/>
    <mergeCell ref="B15:B17"/>
    <mergeCell ref="C15:C17"/>
    <mergeCell ref="S38:S40"/>
    <mergeCell ref="D9:D11"/>
    <mergeCell ref="E9:E11"/>
    <mergeCell ref="C9:C11"/>
    <mergeCell ref="B6:B11"/>
    <mergeCell ref="P9:P11"/>
    <mergeCell ref="B38:B40"/>
    <mergeCell ref="C38:C40"/>
    <mergeCell ref="D38:D40"/>
    <mergeCell ref="E38:E40"/>
    <mergeCell ref="P38:P40"/>
    <mergeCell ref="Q38:Q40"/>
    <mergeCell ref="S15:S17"/>
    <mergeCell ref="B34:S34"/>
    <mergeCell ref="B35:B37"/>
    <mergeCell ref="C35:C37"/>
    <mergeCell ref="D15:D17"/>
    <mergeCell ref="E15:E17"/>
    <mergeCell ref="P15:P17"/>
    <mergeCell ref="D35:D37"/>
    <mergeCell ref="E35:E37"/>
    <mergeCell ref="P35:P37"/>
    <mergeCell ref="Q35:Q37"/>
    <mergeCell ref="S35:S37"/>
    <mergeCell ref="B95:B97"/>
    <mergeCell ref="C95:C97"/>
    <mergeCell ref="D95:D97"/>
    <mergeCell ref="E95:E97"/>
    <mergeCell ref="F95:F97"/>
    <mergeCell ref="G95:G97"/>
    <mergeCell ref="H95:H97"/>
    <mergeCell ref="I95:I97"/>
    <mergeCell ref="P95:P97"/>
    <mergeCell ref="Q95:Q97"/>
    <mergeCell ref="R95:R97"/>
    <mergeCell ref="S95:S97"/>
    <mergeCell ref="R41:R43"/>
    <mergeCell ref="S41:S43"/>
    <mergeCell ref="B44:B46"/>
    <mergeCell ref="C44:C46"/>
    <mergeCell ref="D44:D46"/>
    <mergeCell ref="E44:E46"/>
    <mergeCell ref="F44:F46"/>
  </mergeCells>
  <conditionalFormatting sqref="P1:P1048576">
    <cfRule type="containsText" dxfId="56" priority="92" operator="containsText" text="Select...">
      <formula>NOT(ISERROR(SEARCH("Select...",P1)))</formula>
    </cfRule>
  </conditionalFormatting>
  <dataValidations count="3">
    <dataValidation type="list" allowBlank="1" showInputMessage="1" showErrorMessage="1" sqref="P21 P99:P110 P35:P52 P54:P68 P70:P84 P6:P18 P25:P33 P86:P97" xr:uid="{ABD0C32F-548D-264B-9C7D-61A115BB25EC}">
      <formula1>"Select.... ,1,2,3"</formula1>
    </dataValidation>
    <dataValidation type="list" allowBlank="1" showInputMessage="1" showErrorMessage="1" sqref="F21 F6:F18 F35:F52 F54:F68 F70:F84 F99:F110 F25:F33 F86:F97" xr:uid="{1C4AABD1-018C-4647-A2AA-70D2433C75FB}">
      <formula1>"Concept, Design, Preparation, Implementation, Operation, Termination, Cross-cutting"</formula1>
    </dataValidation>
    <dataValidation type="list" allowBlank="1" showInputMessage="1" showErrorMessage="1" sqref="G6:G33 G35:G52 G54:G68 G70:G84 G99:G110 G25:G33 G86:G97" xr:uid="{D58EDE78-AA4B-6042-848A-CFDFEF0336CA}">
      <formula1>"Climate Change, Energy, Waste, Water, Non-environmental"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68EDB99C-7D96-504A-8B37-D6E636F56753}">
            <xm:f>'1. Scope &amp; Goals'!$C$9="No"</xm:f>
            <x14:dxf>
              <font>
                <color theme="2" tint="-0.24994659260841701"/>
              </font>
              <fill>
                <patternFill patternType="none">
                  <bgColor auto="1"/>
                </patternFill>
              </fill>
            </x14:dxf>
          </x14:cfRule>
          <xm:sqref>B6:S11</xm:sqref>
        </x14:conditionalFormatting>
        <x14:conditionalFormatting xmlns:xm="http://schemas.microsoft.com/office/excel/2006/main">
          <x14:cfRule type="expression" priority="28" stopIfTrue="1" id="{6C893E21-26D2-D548-B752-F41669308322}">
            <xm:f>'1. Scope &amp; Goals'!$C$10="No"</xm:f>
            <x14:dxf>
              <font>
                <color theme="2" tint="-0.24994659260841701"/>
              </font>
              <fill>
                <patternFill patternType="none">
                  <bgColor auto="1"/>
                </patternFill>
              </fill>
            </x14:dxf>
          </x14:cfRule>
          <xm:sqref>B12:S14</xm:sqref>
        </x14:conditionalFormatting>
        <x14:conditionalFormatting xmlns:xm="http://schemas.microsoft.com/office/excel/2006/main">
          <x14:cfRule type="expression" priority="29" stopIfTrue="1" id="{3C60A442-39C7-C14B-8D4D-4A6ABB02A2DD}">
            <xm:f>'1. Scope &amp; Goals'!$C$11="No"</xm:f>
            <x14:dxf>
              <font>
                <color theme="2" tint="-0.24994659260841701"/>
              </font>
              <fill>
                <patternFill patternType="none">
                  <bgColor auto="1"/>
                </patternFill>
              </fill>
            </x14:dxf>
          </x14:cfRule>
          <xm:sqref>B15:S17</xm:sqref>
        </x14:conditionalFormatting>
        <x14:conditionalFormatting xmlns:xm="http://schemas.microsoft.com/office/excel/2006/main">
          <x14:cfRule type="expression" priority="30" stopIfTrue="1" id="{F43E1785-5B9D-4143-99D9-33292F578615}">
            <xm:f>'1. Scope &amp; Goals'!$C$12="No"</xm:f>
            <x14:dxf>
              <font>
                <color theme="2" tint="-0.24994659260841701"/>
              </font>
              <fill>
                <patternFill patternType="none">
                  <bgColor auto="1"/>
                </patternFill>
              </fill>
            </x14:dxf>
          </x14:cfRule>
          <xm:sqref>B18:S20</xm:sqref>
        </x14:conditionalFormatting>
        <x14:conditionalFormatting xmlns:xm="http://schemas.microsoft.com/office/excel/2006/main">
          <x14:cfRule type="expression" priority="31" stopIfTrue="1" id="{B8D11F2C-BDF2-AE43-BBE7-C4BC5447A97C}">
            <xm:f>'1. Scope &amp; Goals'!$C$13="No"</xm:f>
            <x14:dxf>
              <font>
                <color theme="2" tint="-0.24994659260841701"/>
              </font>
              <fill>
                <patternFill patternType="none">
                  <bgColor auto="1"/>
                </patternFill>
              </fill>
            </x14:dxf>
          </x14:cfRule>
          <xm:sqref>B21:S23</xm:sqref>
        </x14:conditionalFormatting>
        <x14:conditionalFormatting xmlns:xm="http://schemas.microsoft.com/office/excel/2006/main">
          <x14:cfRule type="expression" priority="32" stopIfTrue="1" id="{A44503DB-CFCA-F64C-B0EF-7377E632EEEF}">
            <xm:f>'1. Scope &amp; Goals'!$C$15="No"</xm:f>
            <x14:dxf>
              <font>
                <color theme="2" tint="-0.24994659260841701"/>
              </font>
              <fill>
                <patternFill patternType="none">
                  <bgColor auto="1"/>
                </patternFill>
              </fill>
            </x14:dxf>
          </x14:cfRule>
          <xm:sqref>B25:S27</xm:sqref>
        </x14:conditionalFormatting>
        <x14:conditionalFormatting xmlns:xm="http://schemas.microsoft.com/office/excel/2006/main">
          <x14:cfRule type="expression" priority="33" stopIfTrue="1" id="{26A7B67F-672A-7549-A5A8-3951324AD797}">
            <xm:f>'1. Scope &amp; Goals'!$C$16="No"</xm:f>
            <x14:dxf>
              <font>
                <color theme="2" tint="-0.24994659260841701"/>
              </font>
              <fill>
                <patternFill patternType="none">
                  <bgColor auto="1"/>
                </patternFill>
              </fill>
            </x14:dxf>
          </x14:cfRule>
          <xm:sqref>B28:S30</xm:sqref>
        </x14:conditionalFormatting>
        <x14:conditionalFormatting xmlns:xm="http://schemas.microsoft.com/office/excel/2006/main">
          <x14:cfRule type="expression" priority="34" stopIfTrue="1" id="{CB6F1DA9-4AC8-134C-BB44-7EFD59398F7C}">
            <xm:f>'1. Scope &amp; Goals'!$C$17="No"</xm:f>
            <x14:dxf>
              <font>
                <color theme="2" tint="-0.24994659260841701"/>
              </font>
              <fill>
                <patternFill patternType="none">
                  <bgColor auto="1"/>
                </patternFill>
              </fill>
            </x14:dxf>
          </x14:cfRule>
          <xm:sqref>B31:S33</xm:sqref>
        </x14:conditionalFormatting>
        <x14:conditionalFormatting xmlns:xm="http://schemas.microsoft.com/office/excel/2006/main">
          <x14:cfRule type="expression" priority="35" stopIfTrue="1" id="{6125F975-B703-6347-ABA1-00900A6CC085}">
            <xm:f>'1. Scope &amp; Goals'!$C$19="No"</xm:f>
            <x14:dxf>
              <font>
                <color theme="2" tint="-0.24994659260841701"/>
              </font>
              <fill>
                <patternFill patternType="none">
                  <bgColor auto="1"/>
                </patternFill>
              </fill>
            </x14:dxf>
          </x14:cfRule>
          <xm:sqref>B35:S37</xm:sqref>
        </x14:conditionalFormatting>
        <x14:conditionalFormatting xmlns:xm="http://schemas.microsoft.com/office/excel/2006/main">
          <x14:cfRule type="expression" priority="36" stopIfTrue="1" id="{A3A12D16-14F2-864C-9CDC-E2FDAFF0495A}">
            <xm:f>'1. Scope &amp; Goals'!$C$20="No"</xm:f>
            <x14:dxf>
              <font>
                <color theme="2" tint="-0.24994659260841701"/>
              </font>
              <fill>
                <patternFill patternType="none">
                  <bgColor auto="1"/>
                </patternFill>
              </fill>
            </x14:dxf>
          </x14:cfRule>
          <xm:sqref>B38:S40</xm:sqref>
        </x14:conditionalFormatting>
        <x14:conditionalFormatting xmlns:xm="http://schemas.microsoft.com/office/excel/2006/main">
          <x14:cfRule type="expression" priority="37" stopIfTrue="1" id="{C8FB019A-EC1F-C942-A3B3-C37A9CE9BD7D}">
            <xm:f>'1. Scope &amp; Goals'!$C$21="No"</xm:f>
            <x14:dxf>
              <font>
                <color theme="2" tint="-0.24994659260841701"/>
              </font>
              <fill>
                <patternFill patternType="none">
                  <bgColor auto="1"/>
                </patternFill>
              </fill>
            </x14:dxf>
          </x14:cfRule>
          <xm:sqref>B41:S43</xm:sqref>
        </x14:conditionalFormatting>
        <x14:conditionalFormatting xmlns:xm="http://schemas.microsoft.com/office/excel/2006/main">
          <x14:cfRule type="expression" priority="38" stopIfTrue="1" id="{CCF4B7F3-A44D-D74E-9EF2-DF8CD99D6E1A}">
            <xm:f>'1. Scope &amp; Goals'!$C$22="No"</xm:f>
            <x14:dxf>
              <font>
                <color theme="2" tint="-0.24994659260841701"/>
              </font>
              <fill>
                <patternFill patternType="none">
                  <bgColor auto="1"/>
                </patternFill>
              </fill>
            </x14:dxf>
          </x14:cfRule>
          <xm:sqref>B44:S46</xm:sqref>
        </x14:conditionalFormatting>
        <x14:conditionalFormatting xmlns:xm="http://schemas.microsoft.com/office/excel/2006/main">
          <x14:cfRule type="expression" priority="39" stopIfTrue="1" id="{98ED8EC6-C77D-C24E-B642-917CC591DC99}">
            <xm:f>'1. Scope &amp; Goals'!$C$23="No"</xm:f>
            <x14:dxf>
              <font>
                <color theme="2" tint="-0.24994659260841701"/>
              </font>
              <fill>
                <patternFill patternType="none">
                  <bgColor auto="1"/>
                </patternFill>
              </fill>
            </x14:dxf>
          </x14:cfRule>
          <xm:sqref>B47:S49</xm:sqref>
        </x14:conditionalFormatting>
        <x14:conditionalFormatting xmlns:xm="http://schemas.microsoft.com/office/excel/2006/main">
          <x14:cfRule type="expression" priority="40" stopIfTrue="1" id="{0FA30BA7-28CE-E849-97A0-3E5A1E5E75A4}">
            <xm:f>'1. Scope &amp; Goals'!$C$24="No"</xm:f>
            <x14:dxf>
              <font>
                <color theme="2" tint="-0.24994659260841701"/>
              </font>
              <fill>
                <patternFill patternType="none">
                  <bgColor auto="1"/>
                </patternFill>
              </fill>
            </x14:dxf>
          </x14:cfRule>
          <xm:sqref>B50:S52</xm:sqref>
        </x14:conditionalFormatting>
        <x14:conditionalFormatting xmlns:xm="http://schemas.microsoft.com/office/excel/2006/main">
          <x14:cfRule type="expression" priority="41" stopIfTrue="1" id="{3AAE34E1-4534-EC4D-8949-F33EC1C7EB2B}">
            <xm:f>'1. Scope &amp; Goals'!$C$26="No"</xm:f>
            <x14:dxf>
              <font>
                <color theme="2" tint="-0.24994659260841701"/>
              </font>
              <fill>
                <patternFill patternType="none">
                  <bgColor auto="1"/>
                </patternFill>
              </fill>
            </x14:dxf>
          </x14:cfRule>
          <xm:sqref>B54:S56</xm:sqref>
        </x14:conditionalFormatting>
        <x14:conditionalFormatting xmlns:xm="http://schemas.microsoft.com/office/excel/2006/main">
          <x14:cfRule type="expression" priority="42" stopIfTrue="1" id="{F54FE52D-55BF-E845-8958-BE6135B94237}">
            <xm:f>'1. Scope &amp; Goals'!$C$27="No"</xm:f>
            <x14:dxf>
              <font>
                <color theme="2" tint="-0.24994659260841701"/>
              </font>
              <fill>
                <patternFill patternType="none">
                  <bgColor auto="1"/>
                </patternFill>
              </fill>
            </x14:dxf>
          </x14:cfRule>
          <xm:sqref>B57:S59</xm:sqref>
        </x14:conditionalFormatting>
        <x14:conditionalFormatting xmlns:xm="http://schemas.microsoft.com/office/excel/2006/main">
          <x14:cfRule type="expression" priority="43" stopIfTrue="1" id="{6FB5A4BF-7875-4748-9342-64500D09BBA3}">
            <xm:f>'1. Scope &amp; Goals'!$C$28="No"</xm:f>
            <x14:dxf>
              <font>
                <color theme="2" tint="-0.24994659260841701"/>
              </font>
              <fill>
                <patternFill patternType="none">
                  <bgColor auto="1"/>
                </patternFill>
              </fill>
            </x14:dxf>
          </x14:cfRule>
          <xm:sqref>B60:S62</xm:sqref>
        </x14:conditionalFormatting>
        <x14:conditionalFormatting xmlns:xm="http://schemas.microsoft.com/office/excel/2006/main">
          <x14:cfRule type="expression" priority="44" stopIfTrue="1" id="{A783E929-5F81-0749-8AD5-1B3E5A564297}">
            <xm:f>'1. Scope &amp; Goals'!$C$29="No"</xm:f>
            <x14:dxf>
              <font>
                <color theme="2" tint="-0.24994659260841701"/>
              </font>
              <fill>
                <patternFill patternType="none">
                  <bgColor auto="1"/>
                </patternFill>
              </fill>
            </x14:dxf>
          </x14:cfRule>
          <xm:sqref>B63:S65</xm:sqref>
        </x14:conditionalFormatting>
        <x14:conditionalFormatting xmlns:xm="http://schemas.microsoft.com/office/excel/2006/main">
          <x14:cfRule type="expression" priority="45" stopIfTrue="1" id="{E77A3CFB-BD56-EF43-8851-DF54BEE7C265}">
            <xm:f>'1. Scope &amp; Goals'!$C$30="No"</xm:f>
            <x14:dxf>
              <font>
                <color theme="2" tint="-0.24994659260841701"/>
              </font>
              <fill>
                <patternFill patternType="none">
                  <bgColor auto="1"/>
                </patternFill>
              </fill>
            </x14:dxf>
          </x14:cfRule>
          <xm:sqref>B66:S68</xm:sqref>
        </x14:conditionalFormatting>
        <x14:conditionalFormatting xmlns:xm="http://schemas.microsoft.com/office/excel/2006/main">
          <x14:cfRule type="expression" priority="46" stopIfTrue="1" id="{C2DE7310-CB2B-954C-B62B-E38CB9188F28}">
            <xm:f>'1. Scope &amp; Goals'!$C$32="No"</xm:f>
            <x14:dxf>
              <font>
                <color theme="2" tint="-0.24994659260841701"/>
              </font>
              <fill>
                <patternFill patternType="none">
                  <bgColor auto="1"/>
                </patternFill>
              </fill>
            </x14:dxf>
          </x14:cfRule>
          <xm:sqref>B70:S72</xm:sqref>
        </x14:conditionalFormatting>
        <x14:conditionalFormatting xmlns:xm="http://schemas.microsoft.com/office/excel/2006/main">
          <x14:cfRule type="expression" priority="47" stopIfTrue="1" id="{A2262EFB-CE2D-814F-B5FA-764338FE6A43}">
            <xm:f>'1. Scope &amp; Goals'!$C$33="No"</xm:f>
            <x14:dxf>
              <font>
                <color theme="2" tint="-0.24994659260841701"/>
              </font>
              <fill>
                <patternFill patternType="none">
                  <bgColor auto="1"/>
                </patternFill>
              </fill>
            </x14:dxf>
          </x14:cfRule>
          <xm:sqref>B73:S75</xm:sqref>
        </x14:conditionalFormatting>
        <x14:conditionalFormatting xmlns:xm="http://schemas.microsoft.com/office/excel/2006/main">
          <x14:cfRule type="expression" priority="48" stopIfTrue="1" id="{FBDEF935-DD4A-5B4A-9BDD-CEF2985CB25B}">
            <xm:f>'1. Scope &amp; Goals'!$C$34="No"</xm:f>
            <x14:dxf>
              <font>
                <color theme="2" tint="-0.24994659260841701"/>
              </font>
              <fill>
                <patternFill patternType="none">
                  <bgColor auto="1"/>
                </patternFill>
              </fill>
            </x14:dxf>
          </x14:cfRule>
          <xm:sqref>B76:S78</xm:sqref>
        </x14:conditionalFormatting>
        <x14:conditionalFormatting xmlns:xm="http://schemas.microsoft.com/office/excel/2006/main">
          <x14:cfRule type="expression" priority="49" stopIfTrue="1" id="{1B8A1C9D-B1C3-BB42-83A5-56DCC64EB2D9}">
            <xm:f>'1. Scope &amp; Goals'!$C$35="No"</xm:f>
            <x14:dxf>
              <font>
                <color theme="2" tint="-0.24994659260841701"/>
              </font>
              <fill>
                <patternFill patternType="none">
                  <bgColor auto="1"/>
                </patternFill>
              </fill>
            </x14:dxf>
          </x14:cfRule>
          <xm:sqref>B79:S81</xm:sqref>
        </x14:conditionalFormatting>
        <x14:conditionalFormatting xmlns:xm="http://schemas.microsoft.com/office/excel/2006/main">
          <x14:cfRule type="expression" priority="50" stopIfTrue="1" id="{2472C1E4-8A11-3843-8536-951CAD22FEEB}">
            <xm:f>'1. Scope &amp; Goals'!$C$36="No"</xm:f>
            <x14:dxf>
              <font>
                <color theme="2" tint="-0.24994659260841701"/>
              </font>
              <fill>
                <patternFill patternType="none">
                  <bgColor auto="1"/>
                </patternFill>
              </fill>
            </x14:dxf>
          </x14:cfRule>
          <xm:sqref>B82:S84</xm:sqref>
        </x14:conditionalFormatting>
        <x14:conditionalFormatting xmlns:xm="http://schemas.microsoft.com/office/excel/2006/main">
          <x14:cfRule type="expression" priority="51" stopIfTrue="1" id="{9539AE9D-08E2-014A-A1B3-F2276C97991B}">
            <xm:f>'1. Scope &amp; Goals'!$C$38="No"</xm:f>
            <x14:dxf>
              <font>
                <color theme="2" tint="-0.24994659260841701"/>
              </font>
              <fill>
                <patternFill patternType="none">
                  <bgColor auto="1"/>
                </patternFill>
              </fill>
            </x14:dxf>
          </x14:cfRule>
          <xm:sqref>B86:S88</xm:sqref>
        </x14:conditionalFormatting>
        <x14:conditionalFormatting xmlns:xm="http://schemas.microsoft.com/office/excel/2006/main">
          <x14:cfRule type="expression" priority="55" stopIfTrue="1" id="{86F1A3A4-D815-5746-8494-3B975B0177F6}">
            <xm:f>'1. Scope &amp; Goals'!$C$39="No"</xm:f>
            <x14:dxf>
              <font>
                <color theme="2" tint="-0.24994659260841701"/>
              </font>
              <fill>
                <patternFill patternType="none">
                  <bgColor auto="1"/>
                </patternFill>
              </fill>
            </x14:dxf>
          </x14:cfRule>
          <xm:sqref>B89:S91</xm:sqref>
        </x14:conditionalFormatting>
        <x14:conditionalFormatting xmlns:xm="http://schemas.microsoft.com/office/excel/2006/main">
          <x14:cfRule type="expression" priority="56" stopIfTrue="1" id="{AFD7E072-9C15-2F41-A839-FD9F3FB836E0}">
            <xm:f>'1. Scope &amp; Goals'!$C$40="No"</xm:f>
            <x14:dxf>
              <font>
                <color theme="2" tint="-0.24994659260841701"/>
              </font>
              <fill>
                <patternFill patternType="none">
                  <bgColor auto="1"/>
                </patternFill>
              </fill>
            </x14:dxf>
          </x14:cfRule>
          <xm:sqref>B92:S94</xm:sqref>
        </x14:conditionalFormatting>
        <x14:conditionalFormatting xmlns:xm="http://schemas.microsoft.com/office/excel/2006/main">
          <x14:cfRule type="expression" priority="57" stopIfTrue="1" id="{9CFD7EA3-6E00-204D-B103-FD84C150F94F}">
            <xm:f>'1. Scope &amp; Goals'!$C$41="No"</xm:f>
            <x14:dxf>
              <font>
                <color theme="2" tint="-0.24994659260841701"/>
              </font>
              <fill>
                <patternFill patternType="none">
                  <bgColor auto="1"/>
                </patternFill>
              </fill>
            </x14:dxf>
          </x14:cfRule>
          <xm:sqref>B95:S97</xm:sqref>
        </x14:conditionalFormatting>
        <x14:conditionalFormatting xmlns:xm="http://schemas.microsoft.com/office/excel/2006/main">
          <x14:cfRule type="expression" priority="58" stopIfTrue="1" id="{43D7DC4C-8437-BB4D-A1BE-C2A033954814}">
            <xm:f>'1. Scope &amp; Goals'!$C$43="No"</xm:f>
            <x14:dxf>
              <font>
                <color theme="2" tint="-0.24994659260841701"/>
              </font>
              <fill>
                <patternFill patternType="none">
                  <bgColor auto="1"/>
                </patternFill>
              </fill>
            </x14:dxf>
          </x14:cfRule>
          <xm:sqref>B99:S101</xm:sqref>
        </x14:conditionalFormatting>
        <x14:conditionalFormatting xmlns:xm="http://schemas.microsoft.com/office/excel/2006/main">
          <x14:cfRule type="expression" priority="59" stopIfTrue="1" id="{8F6BCC89-A67C-AB41-8CC6-96C87627887F}">
            <xm:f>'1. Scope &amp; Goals'!$C$44="No"</xm:f>
            <x14:dxf>
              <font>
                <color theme="2" tint="-0.24994659260841701"/>
              </font>
              <fill>
                <patternFill patternType="none">
                  <bgColor auto="1"/>
                </patternFill>
              </fill>
            </x14:dxf>
          </x14:cfRule>
          <xm:sqref>B102:S104</xm:sqref>
        </x14:conditionalFormatting>
        <x14:conditionalFormatting xmlns:xm="http://schemas.microsoft.com/office/excel/2006/main">
          <x14:cfRule type="expression" priority="90" stopIfTrue="1" id="{17962AD4-E1C4-8941-AF5F-82A4F76B69A0}">
            <xm:f>'1. Scope &amp; Goals'!$C$45="No"</xm:f>
            <x14:dxf>
              <font>
                <color theme="2" tint="-0.24994659260841701"/>
              </font>
              <fill>
                <patternFill patternType="none">
                  <bgColor auto="1"/>
                </patternFill>
              </fill>
            </x14:dxf>
          </x14:cfRule>
          <xm:sqref>B105:S107</xm:sqref>
        </x14:conditionalFormatting>
        <x14:conditionalFormatting xmlns:xm="http://schemas.microsoft.com/office/excel/2006/main">
          <x14:cfRule type="expression" priority="91" stopIfTrue="1" id="{5004A1FF-E806-0E44-AD3D-430A327CE73C}">
            <xm:f>'1. Scope &amp; Goals'!$C$46="No"</xm:f>
            <x14:dxf>
              <font>
                <color theme="2" tint="-0.24994659260841701"/>
              </font>
              <fill>
                <patternFill patternType="none">
                  <bgColor auto="1"/>
                </patternFill>
              </fill>
            </x14:dxf>
          </x14:cfRule>
          <xm:sqref>B108:S110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CB1A9-1F7B-0C4B-9E49-1673AFF7C16B}">
  <dimension ref="A1:K38"/>
  <sheetViews>
    <sheetView zoomScaleNormal="100" workbookViewId="0">
      <selection activeCell="G31" sqref="G31"/>
    </sheetView>
  </sheetViews>
  <sheetFormatPr baseColWidth="10" defaultRowHeight="16" x14ac:dyDescent="0.2"/>
  <cols>
    <col min="2" max="2" width="65.5" bestFit="1" customWidth="1"/>
    <col min="3" max="3" width="8" bestFit="1" customWidth="1"/>
    <col min="4" max="4" width="15.5" customWidth="1"/>
    <col min="5" max="5" width="16.5" bestFit="1" customWidth="1"/>
    <col min="6" max="8" width="16.33203125" bestFit="1" customWidth="1"/>
    <col min="9" max="9" width="18" bestFit="1" customWidth="1"/>
    <col min="10" max="10" width="24.33203125" bestFit="1" customWidth="1"/>
  </cols>
  <sheetData>
    <row r="1" spans="1:11" ht="41" customHeight="1" x14ac:dyDescent="0.3">
      <c r="A1" s="161" t="s">
        <v>1</v>
      </c>
      <c r="B1" s="161"/>
      <c r="C1" s="161"/>
      <c r="D1" s="161"/>
      <c r="E1" s="161"/>
      <c r="F1" s="161"/>
      <c r="G1" s="161"/>
      <c r="H1" s="161"/>
      <c r="I1" s="161"/>
      <c r="J1" s="161"/>
      <c r="K1" s="161"/>
    </row>
    <row r="2" spans="1:11" ht="41" customHeight="1" x14ac:dyDescent="0.2">
      <c r="A2" s="162" t="s">
        <v>40</v>
      </c>
      <c r="B2" s="162"/>
      <c r="C2" s="162"/>
      <c r="D2" s="162"/>
      <c r="E2" s="162"/>
      <c r="F2" s="162"/>
      <c r="G2" s="162"/>
      <c r="H2" s="162"/>
      <c r="I2" s="162"/>
      <c r="J2" s="162"/>
      <c r="K2" s="162"/>
    </row>
    <row r="3" spans="1:11" ht="22" x14ac:dyDescent="0.3">
      <c r="A3" s="26"/>
      <c r="B3" s="26"/>
      <c r="C3" s="26"/>
      <c r="D3" s="26"/>
      <c r="E3" s="26"/>
      <c r="F3" s="26"/>
      <c r="G3" s="26"/>
      <c r="H3" s="26"/>
      <c r="I3" s="26"/>
      <c r="J3" s="26"/>
      <c r="K3" s="26"/>
    </row>
    <row r="4" spans="1:11" ht="23" x14ac:dyDescent="0.3">
      <c r="A4" s="26"/>
      <c r="B4" s="25" t="s">
        <v>36</v>
      </c>
      <c r="C4" s="310" t="s">
        <v>28</v>
      </c>
      <c r="D4" s="310"/>
      <c r="E4" s="26" t="s">
        <v>322</v>
      </c>
      <c r="F4" s="311" t="s">
        <v>29</v>
      </c>
      <c r="G4" s="311"/>
      <c r="H4" s="311"/>
      <c r="I4" s="26" t="s">
        <v>30</v>
      </c>
      <c r="J4" s="26" t="s">
        <v>49</v>
      </c>
      <c r="K4" s="1"/>
    </row>
    <row r="5" spans="1:11" ht="22" x14ac:dyDescent="0.3">
      <c r="A5" s="26"/>
      <c r="B5" s="27"/>
      <c r="C5" s="27" t="s">
        <v>31</v>
      </c>
      <c r="D5" s="27" t="s">
        <v>32</v>
      </c>
      <c r="E5" s="28" t="s">
        <v>321</v>
      </c>
      <c r="F5" s="13" t="s">
        <v>33</v>
      </c>
      <c r="G5" s="13" t="s">
        <v>34</v>
      </c>
      <c r="H5" s="13" t="s">
        <v>35</v>
      </c>
      <c r="I5" s="28"/>
      <c r="J5" s="28"/>
      <c r="K5" s="1"/>
    </row>
    <row r="6" spans="1:11" ht="22" x14ac:dyDescent="0.3">
      <c r="A6" s="26"/>
      <c r="B6" s="309" t="str">
        <f>_xlfn.XLOOKUP(E6,'2-3. Assessment &amp; Actions'!D:D,'2-3. Assessment &amp; Actions'!B:B)</f>
        <v>G1: Alignment with relevant EU regulations (CSRD, ESRS, EED, ESPR, WEEE, LCA, ISO14040, ISO14044)</v>
      </c>
      <c r="C6" s="29" t="str">
        <f>_xlfn.XLOOKUP(B6, '1. Scope &amp; Goals'!B:B,'1. Scope &amp; Goals'!C:C)</f>
        <v>Yes</v>
      </c>
      <c r="D6" s="29" t="str">
        <f>_xlfn.LET(_xlpm.val,_xlfn.XLOOKUP(B6,'1. Scope &amp; Goals'!B:B,'1. Scope &amp; Goals'!D:D), IF(_xlpm.val="Select…. ","N/A",_xlpm.val))</f>
        <v>N/A</v>
      </c>
      <c r="E6" s="29" t="str" cm="1">
        <f t="array" ref="E6:E38">_xlfn.UNIQUE(_xlfn._xlws.FILTER('2-3. Assessment &amp; Actions'!D6:D144, '2-3. Assessment &amp; Actions'!D6:D144&lt;&gt;""))</f>
        <v>G1.1</v>
      </c>
      <c r="F6" s="57" t="str">
        <f>IF(C6="No", "Not In Scope", IF('2-3. Assessment &amp; Actions'!P6="Select…. ","Not Answered",IF('2-3. Assessment &amp; Actions'!P6&gt;=1,"Passed","Failed")))</f>
        <v>Not Answered</v>
      </c>
      <c r="G6" s="57" t="str">
        <f>IF(C6="No", "Not In Scope", IF('2-3. Assessment &amp; Actions'!P6="Select…. ","Not Answered",IF('2-3. Assessment &amp; Actions'!P6&gt;=2,"Passed","Failed")))</f>
        <v>Not Answered</v>
      </c>
      <c r="H6" s="58" t="str">
        <f>IF(C6="No", "Not In Scope", IF('2-3. Assessment &amp; Actions'!P6="Select…. ","Not Answered",IF('2-3. Assessment &amp; Actions'!P6&gt;=3,"Passed","Failed")))</f>
        <v>Not Answered</v>
      </c>
      <c r="I6" s="30" t="str">
        <f>IF(D6="N/A", "No target set", IF('2-3. Assessment &amp; Actions'!P6="Select…. ", "No results given", IF('2-3. Assessment &amp; Actions'!P6&gt;=D6, "Targets met","Targets not met")))</f>
        <v>No target set</v>
      </c>
      <c r="J6" s="30" t="str">
        <f>IF(C6="No", "Not In Scope", IF('2-3. Assessment &amp; Actions'!P6="Select…. ","Not Answered",IF('2-3. Assessment &amp; Actions'!P6=1,'2-3. Assessment &amp; Actions'!L6,(IF('2-3. Assessment &amp; Actions'!P6=2,'2-3. Assessment &amp; Actions'!L7,'2-3. Assessment &amp; Actions'!L8)))))</f>
        <v>Not Answered</v>
      </c>
      <c r="K6" s="26"/>
    </row>
    <row r="7" spans="1:11" ht="22" x14ac:dyDescent="0.3">
      <c r="A7" s="26"/>
      <c r="B7" s="309"/>
      <c r="C7" s="29" t="str">
        <f>_xlfn.XLOOKUP(B6, '1. Scope &amp; Goals'!B:B,'1. Scope &amp; Goals'!C:C)</f>
        <v>Yes</v>
      </c>
      <c r="D7" s="29" t="str">
        <f>_xlfn.LET(_xlpm.val,_xlfn.XLOOKUP(B6,'1. Scope &amp; Goals'!B:B,'1. Scope &amp; Goals'!D:D), IF(_xlpm.val="Select…. ","N/A",_xlpm.val))</f>
        <v>N/A</v>
      </c>
      <c r="E7" s="29" t="str">
        <v>G1.2</v>
      </c>
      <c r="F7" s="57" t="str">
        <f>IF(C7="No", "Not In Scope", IF('2-3. Assessment &amp; Actions'!P9="Select…. ","Not Answered",IF('2-3. Assessment &amp; Actions'!P9&gt;=1,"Passed","Failed")))</f>
        <v>Not Answered</v>
      </c>
      <c r="G7" s="57" t="str">
        <f>IF(C7="No", "Not In Scope", IF('2-3. Assessment &amp; Actions'!P9="Select…. ","Not Answered",IF('2-3. Assessment &amp; Actions'!P9&gt;=2,"Passed","Failed")))</f>
        <v>Not Answered</v>
      </c>
      <c r="H7" s="57" t="str">
        <f>IF(C7="No", "Not In Scope", IF('2-3. Assessment &amp; Actions'!P9="Select…. ","Not Answered",IF('2-3. Assessment &amp; Actions'!P9&gt;=3,"Passed","Failed")))</f>
        <v>Not Answered</v>
      </c>
      <c r="I7" s="30" t="str">
        <f>IF(D7="N/A", "No target set", IF('2-3. Assessment &amp; Actions'!P9="Select…. ", "No results given", IF('2-3. Assessment &amp; Actions'!P9&gt;=D7, "Targets met","Targets not met")))</f>
        <v>No target set</v>
      </c>
      <c r="J7" s="30" t="str">
        <f>IF(C7="No", "Not In Scope", IF('2-3. Assessment &amp; Actions'!P9="Select…. ","Not Answered",IF('2-3. Assessment &amp; Actions'!P9=1,'2-3. Assessment &amp; Actions'!L9,(IF('2-3. Assessment &amp; Actions'!P9=2,'2-3. Assessment &amp; Actions'!L10,'2-3. Assessment &amp; Actions'!L11)))))</f>
        <v>Not Answered</v>
      </c>
      <c r="K7" s="26"/>
    </row>
    <row r="8" spans="1:11" ht="22" x14ac:dyDescent="0.3">
      <c r="A8" s="26"/>
      <c r="B8" s="62" t="str">
        <f>_xlfn.XLOOKUP(E8,'2-3. Assessment &amp; Actions'!D:D,'2-3. Assessment &amp; Actions'!B:B)</f>
        <v>G2: Existence of a formal environmental sustainability strategy</v>
      </c>
      <c r="C8" s="29" t="str">
        <f>_xlfn.XLOOKUP(B8, '1. Scope &amp; Goals'!B:B,'1. Scope &amp; Goals'!C:C)</f>
        <v>Yes</v>
      </c>
      <c r="D8" s="29" t="str">
        <f>_xlfn.LET(_xlpm.val,_xlfn.XLOOKUP(B8,'1. Scope &amp; Goals'!B:B,'1. Scope &amp; Goals'!D:D), IF(_xlpm.val="Select…. ","N/A",_xlpm.val))</f>
        <v>N/A</v>
      </c>
      <c r="E8" s="29" t="str">
        <v>G2.1</v>
      </c>
      <c r="F8" s="57" t="str">
        <f>IF(C8="No", "Not In Scope", IF('2-3. Assessment &amp; Actions'!P12="Select…. ","Not Answered",IF('2-3. Assessment &amp; Actions'!P12&gt;=1,"Passed","Failed")))</f>
        <v>Not Answered</v>
      </c>
      <c r="G8" s="57" t="str">
        <f>IF(C8="No", "Not In Scope", IF('2-3. Assessment &amp; Actions'!P12="Select…. ","Not Answered",IF('2-3. Assessment &amp; Actions'!P12&gt;=2,"Passed","Failed")))</f>
        <v>Not Answered</v>
      </c>
      <c r="H8" s="57" t="str">
        <f>IF(C8="No", "Not In Scope", IF('2-3. Assessment &amp; Actions'!P12="Select…. ","Not Answered",IF('2-3. Assessment &amp; Actions'!P12&gt;=3,"Passed","Failed")))</f>
        <v>Not Answered</v>
      </c>
      <c r="I8" s="30" t="str">
        <f>IF(D8="N/A", "No target set", IF('2-3. Assessment &amp; Actions'!P12="Select…. ", "No results given", IF('2-3. Assessment &amp; Actions'!P12&gt;=D8, "Targets met","Targets not met")))</f>
        <v>No target set</v>
      </c>
      <c r="J8" s="30" t="str">
        <f>IF(C8="No", "Not In Scope", IF('2-3. Assessment &amp; Actions'!P12="Select…. ","Not Answered",IF('2-3. Assessment &amp; Actions'!P12=1,'2-3. Assessment &amp; Actions'!L12,(IF('2-3. Assessment &amp; Actions'!P12=2,'2-3. Assessment &amp; Actions'!L13,'2-3. Assessment &amp; Actions'!L14)))))</f>
        <v>Not Answered</v>
      </c>
      <c r="K8" s="26"/>
    </row>
    <row r="9" spans="1:11" ht="22" x14ac:dyDescent="0.3">
      <c r="A9" s="26"/>
      <c r="B9" s="62" t="str">
        <f>_xlfn.XLOOKUP(E9,'2-3. Assessment &amp; Actions'!D:D,'2-3. Assessment &amp; Actions'!B:B)</f>
        <v>G3: Defined roles and responsibilities for sustainability</v>
      </c>
      <c r="C9" s="29" t="str">
        <f>_xlfn.XLOOKUP(B9, '1. Scope &amp; Goals'!B:B,'1. Scope &amp; Goals'!C:C)</f>
        <v>Yes</v>
      </c>
      <c r="D9" s="29" t="str">
        <f>_xlfn.LET(_xlpm.val,_xlfn.XLOOKUP(B9,'1. Scope &amp; Goals'!B:B,'1. Scope &amp; Goals'!D:D), IF(_xlpm.val="Select…. ","N/A",_xlpm.val))</f>
        <v>N/A</v>
      </c>
      <c r="E9" s="29" t="str">
        <v>G3.1</v>
      </c>
      <c r="F9" s="57" t="str">
        <f>IF(C9="No", "Not In Scope", IF('2-3. Assessment &amp; Actions'!P15="Select…. ","Not Answered",IF('2-3. Assessment &amp; Actions'!P15&gt;=1,"Passed","Failed")))</f>
        <v>Not Answered</v>
      </c>
      <c r="G9" s="57" t="str">
        <f>IF(C9="No", "Not In Scope", IF('2-3. Assessment &amp; Actions'!P15="Select…. ","Not Answered",IF('2-3. Assessment &amp; Actions'!P15&gt;=2,"Passed","Failed")))</f>
        <v>Not Answered</v>
      </c>
      <c r="H9" s="57" t="str">
        <f>IF(C9="No", "Not In Scope", IF('2-3. Assessment &amp; Actions'!P15="Select…. ","Not Answered",IF('2-3. Assessment &amp; Actions'!P15&gt;=3,"Passed","Failed")))</f>
        <v>Not Answered</v>
      </c>
      <c r="I9" s="30" t="str">
        <f>IF(D9="N/A", "No target set", IF('2-3. Assessment &amp; Actions'!P15="Select…. ", "No results given", IF('2-3. Assessment &amp; Actions'!P15&gt;=D9, "Targets met","Targets not met")))</f>
        <v>No target set</v>
      </c>
      <c r="J9" s="30" t="str">
        <f>IF(C9="No", "Not In Scope", IF('2-3. Assessment &amp; Actions'!P15="Select…. ","Not Answered",IF('2-3. Assessment &amp; Actions'!P15=1,'2-3. Assessment &amp; Actions'!L15,(IF('2-3. Assessment &amp; Actions'!P15=2,'2-3. Assessment &amp; Actions'!L16,'2-3. Assessment &amp; Actions'!L17)))))</f>
        <v>Not Answered</v>
      </c>
      <c r="K9" s="26"/>
    </row>
    <row r="10" spans="1:11" ht="22" x14ac:dyDescent="0.3">
      <c r="A10" s="26"/>
      <c r="B10" s="62" t="str">
        <f>_xlfn.XLOOKUP(E10,'2-3. Assessment &amp; Actions'!D:D,'2-3. Assessment &amp; Actions'!B:B)</f>
        <v>G4: Inclusion of sustainability in internal policies or quality systems</v>
      </c>
      <c r="C10" s="29" t="str">
        <f>_xlfn.XLOOKUP(B10, '1. Scope &amp; Goals'!B:B,'1. Scope &amp; Goals'!C:C)</f>
        <v>Yes</v>
      </c>
      <c r="D10" s="29" t="str">
        <f>_xlfn.LET(_xlpm.val,_xlfn.XLOOKUP(B10,'1. Scope &amp; Goals'!B:B,'1. Scope &amp; Goals'!D:D), IF(_xlpm.val="Select…. ","N/A",_xlpm.val))</f>
        <v>N/A</v>
      </c>
      <c r="E10" s="29" t="str">
        <v>G4.1</v>
      </c>
      <c r="F10" s="57" t="str">
        <f>IF(C10="No", "Not In Scope", IF('2-3. Assessment &amp; Actions'!P18="Select…. ","Not Answered",IF('2-3. Assessment &amp; Actions'!P18&gt;=1,"Passed","Failed")))</f>
        <v>Not Answered</v>
      </c>
      <c r="G10" s="57" t="str">
        <f>IF(C10="No", "Not In Scope", IF('2-3. Assessment &amp; Actions'!P18="Select…. ","Not Answered",IF('2-3. Assessment &amp; Actions'!P18&gt;=2,"Passed","Failed")))</f>
        <v>Not Answered</v>
      </c>
      <c r="H10" s="57" t="str">
        <f>IF(C10="No", "Not In Scope", IF('2-3. Assessment &amp; Actions'!P18="Select…. ","Not Answered",IF('2-3. Assessment &amp; Actions'!P18&gt;=3,"Passed","Failed")))</f>
        <v>Not Answered</v>
      </c>
      <c r="I10" s="30" t="str">
        <f>IF(D10="N/A", "No target set", IF('2-3. Assessment &amp; Actions'!P18="Select…. ", "No results given", IF('2-3. Assessment &amp; Actions'!P18&gt;=D10, "Targets met","Targets not met")))</f>
        <v>No target set</v>
      </c>
      <c r="J10" s="30" t="str">
        <f>IF(C10="No", "Not In Scope", IF('2-3. Assessment &amp; Actions'!P18="Select…. ","Not Answered",IF('2-3. Assessment &amp; Actions'!P18=1,'2-3. Assessment &amp; Actions'!L18,(IF('2-3. Assessment &amp; Actions'!P18=2,'2-3. Assessment &amp; Actions'!L19,'2-3. Assessment &amp; Actions'!L20)))))</f>
        <v>Not Answered</v>
      </c>
      <c r="K10" s="26"/>
    </row>
    <row r="11" spans="1:11" ht="22" x14ac:dyDescent="0.3">
      <c r="A11" s="26"/>
      <c r="B11" s="62" t="str">
        <f>_xlfn.XLOOKUP(E11,'2-3. Assessment &amp; Actions'!D:D,'2-3. Assessment &amp; Actions'!B:B)</f>
        <v>G5: Inclusion of sustainability in procurement or supplier management</v>
      </c>
      <c r="C11" s="29" t="str">
        <f>_xlfn.XLOOKUP(B11, '1. Scope &amp; Goals'!B:B,'1. Scope &amp; Goals'!C:C)</f>
        <v>Yes</v>
      </c>
      <c r="D11" s="29" t="str">
        <f>_xlfn.LET(_xlpm.val,_xlfn.XLOOKUP(B11,'1. Scope &amp; Goals'!B:B,'1. Scope &amp; Goals'!D:D), IF(_xlpm.val="Select…. ","N/A",_xlpm.val))</f>
        <v>N/A</v>
      </c>
      <c r="E11" s="29" t="str">
        <v>G5.1</v>
      </c>
      <c r="F11" s="57" t="str">
        <f>IF(C11="No", "Not In Scope", IF('2-3. Assessment &amp; Actions'!P21="Select…. ","Not Answered",IF('2-3. Assessment &amp; Actions'!P21&gt;=1,"Passed","Failed")))</f>
        <v>Not Answered</v>
      </c>
      <c r="G11" s="57" t="str">
        <f>IF(C11="No", "Not In Scope", IF('2-3. Assessment &amp; Actions'!P21="Select…. ","Not Answered",IF('2-3. Assessment &amp; Actions'!P21&gt;=2,"Passed","Failed")))</f>
        <v>Not Answered</v>
      </c>
      <c r="H11" s="58" t="str">
        <f>IF(C11="No", "Not In Scope", IF('2-3. Assessment &amp; Actions'!P21="Select…. ","Not Answered",IF('2-3. Assessment &amp; Actions'!P21&gt;=3,"Passed","Failed")))</f>
        <v>Not Answered</v>
      </c>
      <c r="I11" s="30" t="str">
        <f>IF(D11="N/A", "No target set", IF('2-3. Assessment &amp; Actions'!P21="Select…. ", "No results given", IF('2-3. Assessment &amp; Actions'!P21&gt;=D11, "Targets met","Targets not met")))</f>
        <v>No target set</v>
      </c>
      <c r="J11" s="30" t="str">
        <f>IF(C11="No", "Not In Scope", IF('2-3. Assessment &amp; Actions'!P21="Select…. ","Not Answered",IF('2-3. Assessment &amp; Actions'!P21=1,'2-3. Assessment &amp; Actions'!L21,(IF('2-3. Assessment &amp; Actions'!P21=2,'2-3. Assessment &amp; Actions'!L22,'2-3. Assessment &amp; Actions'!L23)))))</f>
        <v>Not Answered</v>
      </c>
      <c r="K11" s="26"/>
    </row>
    <row r="12" spans="1:11" ht="22" x14ac:dyDescent="0.3">
      <c r="A12" s="26"/>
      <c r="B12" s="65" t="str">
        <f>_xlfn.XLOOKUP(E12,'2-3. Assessment &amp; Actions'!D:D,'2-3. Assessment &amp; Actions'!B:B)</f>
        <v>S1: Sustainability awareness/training for staff</v>
      </c>
      <c r="C12" s="46" t="str">
        <f>_xlfn.XLOOKUP(B12, '1. Scope &amp; Goals'!B:B,'1. Scope &amp; Goals'!C:C)</f>
        <v>Yes</v>
      </c>
      <c r="D12" s="46" t="str">
        <f>_xlfn.LET(_xlpm.val,_xlfn.XLOOKUP(B12,'1. Scope &amp; Goals'!B:B,'1. Scope &amp; Goals'!D:D), IF(_xlpm.val="Select…. ","N/A",_xlpm.val))</f>
        <v>N/A</v>
      </c>
      <c r="E12" s="46" t="str">
        <v>S1.1</v>
      </c>
      <c r="F12" s="57" t="str">
        <f>IF(C12="No", "Not In Scope", IF('2-3. Assessment &amp; Actions'!P25="Select…. ","Not Answered",IF('2-3. Assessment &amp; Actions'!P25&gt;=1,"Passed","Failed")))</f>
        <v>Not Answered</v>
      </c>
      <c r="G12" s="57" t="str">
        <f>IF(D12="No", "Not In Scope", IF('2-3. Assessment &amp; Actions'!P25="Select…. ","Not Answered",IF('2-3. Assessment &amp; Actions'!P25&gt;=2,"Passed","Failed")))</f>
        <v>Not Answered</v>
      </c>
      <c r="H12" s="58" t="str">
        <f>IF(C12="No", "Not In Scope", IF('2-3. Assessment &amp; Actions'!P25="Select…. ","Not Answered",IF('2-3. Assessment &amp; Actions'!P25&gt;=3,"Passed","Failed")))</f>
        <v>Not Answered</v>
      </c>
      <c r="I12" s="30" t="str">
        <f>IF(D12="N/A", "No target set", IF('2-3. Assessment &amp; Actions'!P25="Select…. ", "No results given", IF('2-3. Assessment &amp; Actions'!P25&gt;=D12, "Targets met","Targets not met")))</f>
        <v>No target set</v>
      </c>
      <c r="J12" s="30" t="str">
        <f>IF(C12="No", "Not In Scope", IF('2-3. Assessment &amp; Actions'!P25="Select…. ","Not Answered",IF('2-3. Assessment &amp; Actions'!P25=1,'2-3. Assessment &amp; Actions'!L25,(IF('2-3. Assessment &amp; Actions'!P25=2,'2-3. Assessment &amp; Actions'!L26,'2-3. Assessment &amp; Actions'!L27)))))</f>
        <v>Not Answered</v>
      </c>
      <c r="K12" s="26"/>
    </row>
    <row r="13" spans="1:11" ht="22" x14ac:dyDescent="0.3">
      <c r="A13" s="26"/>
      <c r="B13" s="65" t="str">
        <f>_xlfn.XLOOKUP(E13,'2-3. Assessment &amp; Actions'!D:D,'2-3. Assessment &amp; Actions'!B:B)</f>
        <v>S2: Involvement of stakeholders in environmental planning</v>
      </c>
      <c r="C13" s="46" t="str">
        <f>_xlfn.XLOOKUP(B13, '1. Scope &amp; Goals'!B:B,'1. Scope &amp; Goals'!C:C)</f>
        <v>Yes</v>
      </c>
      <c r="D13" s="46" t="str">
        <f>_xlfn.LET(_xlpm.val,_xlfn.XLOOKUP(B13,'1. Scope &amp; Goals'!B:B,'1. Scope &amp; Goals'!D:D), IF(_xlpm.val="Select…. ","N/A",_xlpm.val))</f>
        <v>N/A</v>
      </c>
      <c r="E13" s="46" t="str">
        <v>S2.1</v>
      </c>
      <c r="F13" s="57" t="str">
        <f>IF(C13="No", "Not In Scope", IF('2-3. Assessment &amp; Actions'!P28="Select…. ","Not Answered",IF('2-3. Assessment &amp; Actions'!P28&gt;=1,"Passed","Failed")))</f>
        <v>Not Answered</v>
      </c>
      <c r="G13" s="57" t="str">
        <f>IF(C13="No", "Not In Scope", IF('2-3. Assessment &amp; Actions'!P28="Select…. ","Not Answered",IF('2-3. Assessment &amp; Actions'!P28&gt;=2,"Passed","Failed")))</f>
        <v>Not Answered</v>
      </c>
      <c r="H13" s="57" t="str">
        <f>IF(C13="No", "Not In Scope", IF('2-3. Assessment &amp; Actions'!P28="Select…. ","Not Answered",IF('2-3. Assessment &amp; Actions'!P28&gt;=3,"Passed","Failed")))</f>
        <v>Not Answered</v>
      </c>
      <c r="I13" s="30" t="str">
        <f>IF(D13="N/A", "No target set", IF('2-3. Assessment &amp; Actions'!P28="Select…. ", "No results given", IF('2-3. Assessment &amp; Actions'!P28&gt;=D13, "Targets met","Targets not met")))</f>
        <v>No target set</v>
      </c>
      <c r="J13" s="30" t="str">
        <f>IF(C13="No", "Not In Scope", IF('2-3. Assessment &amp; Actions'!P28="Select…. ","Not Answered",IF('2-3. Assessment &amp; Actions'!P28=1,'2-3. Assessment &amp; Actions'!L28,(IF('2-3. Assessment &amp; Actions'!P28=2,'2-3. Assessment &amp; Actions'!L29,'2-3. Assessment &amp; Actions'!L30)))))</f>
        <v>Not Answered</v>
      </c>
      <c r="K13" s="26"/>
    </row>
    <row r="14" spans="1:11" ht="22" x14ac:dyDescent="0.3">
      <c r="A14" s="26"/>
      <c r="B14" s="65" t="str">
        <f>_xlfn.XLOOKUP(E14,'2-3. Assessment &amp; Actions'!D:D,'2-3. Assessment &amp; Actions'!B:B)</f>
        <v>S3: Transparent communication of environmental performance</v>
      </c>
      <c r="C14" s="46" t="str">
        <f>_xlfn.XLOOKUP(B14, '1. Scope &amp; Goals'!B:B,'1. Scope &amp; Goals'!C:C)</f>
        <v>Yes</v>
      </c>
      <c r="D14" s="46" t="str">
        <f>_xlfn.LET(_xlpm.val,_xlfn.XLOOKUP(B14,'1. Scope &amp; Goals'!B:B,'1. Scope &amp; Goals'!D:D), IF(_xlpm.val="Select…. ","N/A",_xlpm.val))</f>
        <v>N/A</v>
      </c>
      <c r="E14" s="46" t="str">
        <v>S3.1</v>
      </c>
      <c r="F14" s="57" t="str">
        <f>IF(C14="No", "Not In Scope", IF('2-3. Assessment &amp; Actions'!P31="Select…. ","Not Answered",IF('2-3. Assessment &amp; Actions'!P31&gt;=1,"Passed","Failed")))</f>
        <v>Not Answered</v>
      </c>
      <c r="G14" s="57" t="str">
        <f>IF(C14="No", "Not In Scope", IF('2-3. Assessment &amp; Actions'!P31="Select…. ","Not Answered",IF('2-3. Assessment &amp; Actions'!P31&gt;=2,"Passed","Failed")))</f>
        <v>Not Answered</v>
      </c>
      <c r="H14" s="57" t="str">
        <f>IF(C14="No", "Not In Scope", IF('2-3. Assessment &amp; Actions'!P31="Select…. ","Not Answered",IF('2-3. Assessment &amp; Actions'!P31&gt;=3,"Passed","Failed")))</f>
        <v>Not Answered</v>
      </c>
      <c r="I14" s="30" t="str">
        <f>IF(D14="N/A", "No target set", IF('2-3. Assessment &amp; Actions'!P31="Select…. ", "No results given", IF('2-3. Assessment &amp; Actions'!P31&gt;=D14, "Targets met","Targets not met")))</f>
        <v>No target set</v>
      </c>
      <c r="J14" s="30" t="str">
        <f>IF(C14="No", "Not In Scope", IF('2-3. Assessment &amp; Actions'!P31="Select…. ","Not Answered",IF('2-3. Assessment &amp; Actions'!P31=1,'2-3. Assessment &amp; Actions'!L31,(IF('2-3. Assessment &amp; Actions'!P31=2,'2-3. Assessment &amp; Actions'!L32,'2-3. Assessment &amp; Actions'!L33)))))</f>
        <v>Not Answered</v>
      </c>
      <c r="K14" s="26"/>
    </row>
    <row r="15" spans="1:11" ht="22" x14ac:dyDescent="0.3">
      <c r="A15" s="26"/>
      <c r="B15" s="70" t="str">
        <f>_xlfn.XLOOKUP(E15,'2-3. Assessment &amp; Actions'!D:D,'2-3. Assessment &amp; Actions'!B:B)</f>
        <v>E1: Adoption of renewable energy sources</v>
      </c>
      <c r="C15" s="66" t="str">
        <f>_xlfn.XLOOKUP(B15, '1. Scope &amp; Goals'!B:B,'1. Scope &amp; Goals'!C:C)</f>
        <v>Yes</v>
      </c>
      <c r="D15" s="66" t="str">
        <f>_xlfn.LET(_xlpm.val,_xlfn.XLOOKUP(B15,'1. Scope &amp; Goals'!B:B,'1. Scope &amp; Goals'!D:D), IF(_xlpm.val="Select…. ","N/A",_xlpm.val))</f>
        <v>N/A</v>
      </c>
      <c r="E15" s="66" t="str">
        <v>E1.1</v>
      </c>
      <c r="F15" s="57" t="str">
        <f>IF(C15="No", "Not In Scope", IF('2-3. Assessment &amp; Actions'!P35="Select…. ","Not Answered",IF('2-3. Assessment &amp; Actions'!P35&gt;=1,"Passed","Failed")))</f>
        <v>Not Answered</v>
      </c>
      <c r="G15" s="57" t="str">
        <f>IF(C15="No", "Not In Scope", IF('2-3. Assessment &amp; Actions'!P35="Select…. ","Not Answered",IF('2-3. Assessment &amp; Actions'!P35&gt;=2,"Passed","Failed")))</f>
        <v>Not Answered</v>
      </c>
      <c r="H15" s="57" t="str">
        <f>IF(C15="No", "Not In Scope", IF('2-3. Assessment &amp; Actions'!P35="Select…. ","Not Answered",IF('2-3. Assessment &amp; Actions'!P35&gt;=3,"Passed","Failed")))</f>
        <v>Not Answered</v>
      </c>
      <c r="I15" s="30" t="str">
        <f>IF(D15="N/A", "No target set", IF('2-3. Assessment &amp; Actions'!P35="Select…. ", "No results given", IF('2-3. Assessment &amp; Actions'!P35&gt;=D15, "Targets met","Targets not met")))</f>
        <v>No target set</v>
      </c>
      <c r="J15" s="30" t="str">
        <f>IF(C15="No", "Not In Scope", IF('2-3. Assessment &amp; Actions'!P35="Select…. ","Not Answered",IF('2-3. Assessment &amp; Actions'!P35=1,'2-3. Assessment &amp; Actions'!L35,(IF('2-3. Assessment &amp; Actions'!P35=2,'2-3. Assessment &amp; Actions'!L36,'2-3. Assessment &amp; Actions'!L37)))))</f>
        <v>Not Answered</v>
      </c>
      <c r="K15" s="26"/>
    </row>
    <row r="16" spans="1:11" ht="22" x14ac:dyDescent="0.3">
      <c r="A16" s="26"/>
      <c r="B16" s="70" t="str">
        <f>_xlfn.XLOOKUP(E16,'2-3. Assessment &amp; Actions'!D:D,'2-3. Assessment &amp; Actions'!B:B)</f>
        <v>E2: AI-driven workload or energy optimisation</v>
      </c>
      <c r="C16" s="66" t="str">
        <f>_xlfn.XLOOKUP(B16, '1. Scope &amp; Goals'!B:B,'1. Scope &amp; Goals'!C:C)</f>
        <v>Yes</v>
      </c>
      <c r="D16" s="66" t="str">
        <f>_xlfn.LET(_xlpm.val,_xlfn.XLOOKUP(B16,'1. Scope &amp; Goals'!B:B,'1. Scope &amp; Goals'!D:D), IF(_xlpm.val="Select…. ","N/A",_xlpm.val))</f>
        <v>N/A</v>
      </c>
      <c r="E16" s="66" t="str">
        <v>E2.1</v>
      </c>
      <c r="F16" s="57" t="str">
        <f>IF(C16="No", "Not In Scope", IF('2-3. Assessment &amp; Actions'!P38="Select…. ","Not Answered",IF('2-3. Assessment &amp; Actions'!P38&gt;=1,"Passed","Failed")))</f>
        <v>Not Answered</v>
      </c>
      <c r="G16" s="57" t="str">
        <f>IF(C16="No", "Not In Scope", IF('2-3. Assessment &amp; Actions'!P38="Select…. ","Not Answered",IF('2-3. Assessment &amp; Actions'!P38&gt;=2,"Passed","Failed")))</f>
        <v>Not Answered</v>
      </c>
      <c r="H16" s="57" t="str">
        <f>IF(C16="No", "Not In Scope", IF('2-3. Assessment &amp; Actions'!P38="Select…. ","Not Answered",IF('2-3. Assessment &amp; Actions'!P38&gt;=3,"Passed","Failed")))</f>
        <v>Not Answered</v>
      </c>
      <c r="I16" s="30" t="str">
        <f>IF(D16="N/A", "No target set", IF('2-3. Assessment &amp; Actions'!P38="Select…. ", "No results given", IF('2-3. Assessment &amp; Actions'!P38&gt;=D16, "Targets met","Targets not met")))</f>
        <v>No target set</v>
      </c>
      <c r="J16" s="30" t="str">
        <f>IF(C16="No", "Not In Scope", IF('2-3. Assessment &amp; Actions'!P38="Select…. ","Not Answered",IF('2-3. Assessment &amp; Actions'!P38=1,'2-3. Assessment &amp; Actions'!L38,(IF('2-3. Assessment &amp; Actions'!P38=2,'2-3. Assessment &amp; Actions'!L39,'2-3. Assessment &amp; Actions'!L40)))))</f>
        <v>Not Answered</v>
      </c>
      <c r="K16" s="26"/>
    </row>
    <row r="17" spans="1:11" ht="22" x14ac:dyDescent="0.3">
      <c r="A17" s="26"/>
      <c r="B17" s="70" t="str">
        <f>_xlfn.XLOOKUP(E17,'2-3. Assessment &amp; Actions'!D:D,'2-3. Assessment &amp; Actions'!B:B)</f>
        <v>E3: Waste heat recovery or reuse strategies</v>
      </c>
      <c r="C17" s="66" t="str">
        <f>_xlfn.XLOOKUP(B17, '1. Scope &amp; Goals'!B:B,'1. Scope &amp; Goals'!C:C)</f>
        <v>Yes</v>
      </c>
      <c r="D17" s="66" t="str">
        <f>_xlfn.LET(_xlpm.val,_xlfn.XLOOKUP(B17,'1. Scope &amp; Goals'!B:B,'1. Scope &amp; Goals'!D:D), IF(_xlpm.val="Select…. ","N/A",_xlpm.val))</f>
        <v>N/A</v>
      </c>
      <c r="E17" s="66" t="str">
        <v>E3.1</v>
      </c>
      <c r="F17" s="57" t="str">
        <f>IF(C17="No", "Not In Scope", IF('2-3. Assessment &amp; Actions'!P41="Select…. ","Not Answered",IF('2-3. Assessment &amp; Actions'!P41&gt;=1,"Passed","Failed")))</f>
        <v>Not Answered</v>
      </c>
      <c r="G17" s="57" t="str">
        <f>IF(C17="No", "Not In Scope", IF('2-3. Assessment &amp; Actions'!P41="Select…. ","Not Answered",IF('2-3. Assessment &amp; Actions'!P41&gt;=2,"Passed","Failed")))</f>
        <v>Not Answered</v>
      </c>
      <c r="H17" s="57" t="str">
        <f>IF(C17="No", "Not In Scope", IF('2-3. Assessment &amp; Actions'!P41="Select…. ","Not Answered",IF('2-3. Assessment &amp; Actions'!P41&gt;=3,"Passed","Failed")))</f>
        <v>Not Answered</v>
      </c>
      <c r="I17" s="30" t="str">
        <f>IF(D17="N/A", "No target set", IF('2-3. Assessment &amp; Actions'!P41="Select…. ", "No results given", IF('2-3. Assessment &amp; Actions'!P41&gt;=D17, "Targets met","Targets not met")))</f>
        <v>No target set</v>
      </c>
      <c r="J17" s="30" t="str">
        <f>IF(C17="No", "Not In Scope", IF('2-3. Assessment &amp; Actions'!P41="Select…. ","Not Answered",IF('2-3. Assessment &amp; Actions'!P41=1,'2-3. Assessment &amp; Actions'!L41,(IF('2-3. Assessment &amp; Actions'!P41=2,'2-3. Assessment &amp; Actions'!L42,'2-3. Assessment &amp; Actions'!L43)))))</f>
        <v>Not Answered</v>
      </c>
      <c r="K17" s="26"/>
    </row>
    <row r="18" spans="1:11" ht="22" x14ac:dyDescent="0.3">
      <c r="A18" s="26"/>
      <c r="B18" s="70" t="str">
        <f>_xlfn.XLOOKUP(E18,'2-3. Assessment &amp; Actions'!D:D,'2-3. Assessment &amp; Actions'!B:B)</f>
        <v>E4: Power Usage Effectiveness (PUE) tracking and optimisation</v>
      </c>
      <c r="C18" s="66" t="str">
        <f>_xlfn.XLOOKUP(B18, '1. Scope &amp; Goals'!B:B,'1. Scope &amp; Goals'!C:C)</f>
        <v>Yes</v>
      </c>
      <c r="D18" s="66" t="str">
        <f>_xlfn.LET(_xlpm.val,_xlfn.XLOOKUP(B18,'1. Scope &amp; Goals'!B:B,'1. Scope &amp; Goals'!D:D), IF(_xlpm.val="Select…. ","N/A",_xlpm.val))</f>
        <v>N/A</v>
      </c>
      <c r="E18" s="66" t="str">
        <v>E4.1</v>
      </c>
      <c r="F18" s="57" t="str">
        <f>IF(C18="No", "Not In Scope", IF('2-3. Assessment &amp; Actions'!P44="Select…. ","Not Answered",IF('2-3. Assessment &amp; Actions'!P44&gt;=1,"Passed","Failed")))</f>
        <v>Not Answered</v>
      </c>
      <c r="G18" s="57" t="str">
        <f>IF(C18="No", "Not In Scope", IF('2-3. Assessment &amp; Actions'!P44="Select…. ","Not Answered",IF('2-3. Assessment &amp; Actions'!P44&gt;=2,"Passed","Failed")))</f>
        <v>Not Answered</v>
      </c>
      <c r="H18" s="57" t="str">
        <f>IF(C18="No", "Not In Scope", IF('2-3. Assessment &amp; Actions'!P44="Select…. ","Not Answered",IF('2-3. Assessment &amp; Actions'!P44&gt;=3,"Passed","Failed")))</f>
        <v>Not Answered</v>
      </c>
      <c r="I18" s="30" t="str">
        <f>IF(D18="N/A", "No target set", IF('2-3. Assessment &amp; Actions'!P44="Select…. ", "No results given", IF('2-3. Assessment &amp; Actions'!P44&gt;=D18, "Targets met","Targets not met")))</f>
        <v>No target set</v>
      </c>
      <c r="J18" s="30" t="str">
        <f>IF(C18="No", "Not In Scope", IF('2-3. Assessment &amp; Actions'!P44="Select…. ","Not Answered",IF('2-3. Assessment &amp; Actions'!P44=1,'2-3. Assessment &amp; Actions'!L44,(IF('2-3. Assessment &amp; Actions'!P44=2,'2-3. Assessment &amp; Actions'!L45,'2-3. Assessment &amp; Actions'!L46)))))</f>
        <v>Not Answered</v>
      </c>
      <c r="K18" s="26"/>
    </row>
    <row r="19" spans="1:11" ht="22" x14ac:dyDescent="0.3">
      <c r="A19" s="26"/>
      <c r="B19" s="70" t="str">
        <f>_xlfn.XLOOKUP(E19,'2-3. Assessment &amp; Actions'!D:D,'2-3. Assessment &amp; Actions'!B:B)</f>
        <v>E5: Carbon Use Effectiveness (CUE) tracking and reduction</v>
      </c>
      <c r="C19" s="66" t="str">
        <f>_xlfn.XLOOKUP(B19, '1. Scope &amp; Goals'!B:B,'1. Scope &amp; Goals'!C:C)</f>
        <v>Yes</v>
      </c>
      <c r="D19" s="66" t="str">
        <f>_xlfn.LET(_xlpm.val,_xlfn.XLOOKUP(B19,'1. Scope &amp; Goals'!B:B,'1. Scope &amp; Goals'!D:D), IF(_xlpm.val="Select…. ","N/A",_xlpm.val))</f>
        <v>N/A</v>
      </c>
      <c r="E19" s="66" t="str">
        <v>E5.1</v>
      </c>
      <c r="F19" s="57" t="str">
        <f>IF(C19="No", "Not In Scope", IF('2-3. Assessment &amp; Actions'!P47="Select…. ","Not Answered",IF('2-3. Assessment &amp; Actions'!P47&gt;=1,"Passed","Failed")))</f>
        <v>Not Answered</v>
      </c>
      <c r="G19" s="57" t="str">
        <f>IF(C19="No", "Not In Scope", IF('2-3. Assessment &amp; Actions'!P47="Select…. ","Not Answered",IF('2-3. Assessment &amp; Actions'!P47&gt;=2,"Passed","Failed")))</f>
        <v>Not Answered</v>
      </c>
      <c r="H19" s="57" t="str">
        <f>IF(C19="No", "Not In Scope", IF('2-3. Assessment &amp; Actions'!P47="Select…. ","Not Answered",IF('2-3. Assessment &amp; Actions'!P47&gt;=3,"Passed","Failed")))</f>
        <v>Not Answered</v>
      </c>
      <c r="I19" s="30" t="str">
        <f>IF(D19="N/A", "No target set", IF('2-3. Assessment &amp; Actions'!P47="Select…. ", "No results given", IF('2-3. Assessment &amp; Actions'!P47&gt;=D19, "Targets met","Targets not met")))</f>
        <v>No target set</v>
      </c>
      <c r="J19" s="30" t="str">
        <f>IF(C19="No", "Not In Scope", IF('2-3. Assessment &amp; Actions'!P47="Select…. ","Not Answered",IF('2-3. Assessment &amp; Actions'!P47=1,'2-3. Assessment &amp; Actions'!L47,(IF('2-3. Assessment &amp; Actions'!P47=2,'2-3. Assessment &amp; Actions'!L48,'2-3. Assessment &amp; Actions'!L49)))))</f>
        <v>Not Answered</v>
      </c>
      <c r="K19" s="26"/>
    </row>
    <row r="20" spans="1:11" ht="22" x14ac:dyDescent="0.3">
      <c r="A20" s="26"/>
      <c r="B20" s="70" t="str">
        <f>_xlfn.XLOOKUP(E20,'2-3. Assessment &amp; Actions'!D:D,'2-3. Assessment &amp; Actions'!B:B)</f>
        <v>E6: Flexible energy usage or smart grid responsiveness</v>
      </c>
      <c r="C20" s="66" t="str">
        <f>_xlfn.XLOOKUP(B20, '1. Scope &amp; Goals'!B:B,'1. Scope &amp; Goals'!C:C)</f>
        <v>Yes</v>
      </c>
      <c r="D20" s="66" t="str">
        <f>_xlfn.LET(_xlpm.val,_xlfn.XLOOKUP(B20,'1. Scope &amp; Goals'!B:B,'1. Scope &amp; Goals'!D:D), IF(_xlpm.val="Select…. ","N/A",_xlpm.val))</f>
        <v>N/A</v>
      </c>
      <c r="E20" s="66" t="str">
        <v>E6.1</v>
      </c>
      <c r="F20" s="57" t="str">
        <f>IF(C20="No", "Not In Scope", IF('2-3. Assessment &amp; Actions'!P50="Select…. ","Not Answered",IF('2-3. Assessment &amp; Actions'!P50&gt;=1,"Passed","Failed")))</f>
        <v>Not Answered</v>
      </c>
      <c r="G20" s="57" t="str">
        <f>IF(C20="No", "Not In Scope", IF('2-3. Assessment &amp; Actions'!P50="Select…. ","Not Answered",IF('2-3. Assessment &amp; Actions'!P50&gt;=2,"Passed","Failed")))</f>
        <v>Not Answered</v>
      </c>
      <c r="H20" s="58" t="str">
        <f>IF(C20="No", "Not In Scope", IF('2-3. Assessment &amp; Actions'!P50="Select…. ","Not Answered",IF('2-3. Assessment &amp; Actions'!P50&gt;=3,"Passed","Failed")))</f>
        <v>Not Answered</v>
      </c>
      <c r="I20" s="30" t="str">
        <f>IF(D20="N/A", "No target set", IF('2-3. Assessment &amp; Actions'!P50="Select…. ", "No results given", IF('2-3. Assessment &amp; Actions'!P50&gt;=D20, "Targets met","Targets not met")))</f>
        <v>No target set</v>
      </c>
      <c r="J20" s="30" t="str">
        <f>IF(C20="No", "Not In Scope", IF('2-3. Assessment &amp; Actions'!P50="Select…. ","Not Answered",IF('2-3. Assessment &amp; Actions'!P50=1,'2-3. Assessment &amp; Actions'!L50,(IF('2-3. Assessment &amp; Actions'!P50=2,'2-3. Assessment &amp; Actions'!L51,'2-3. Assessment &amp; Actions'!L52)))))</f>
        <v>Not Answered</v>
      </c>
      <c r="K20" s="26"/>
    </row>
    <row r="21" spans="1:11" ht="22" x14ac:dyDescent="0.3">
      <c r="A21" s="26"/>
      <c r="B21" s="64" t="str">
        <f>_xlfn.XLOOKUP(E21,'2-3. Assessment &amp; Actions'!D:D,'2-3. Assessment &amp; Actions'!B:B)</f>
        <v>M1: Measurement of environmental KPIs (GHG, energy, water, waste)</v>
      </c>
      <c r="C21" s="45" t="str">
        <f>_xlfn.XLOOKUP(B21, '1. Scope &amp; Goals'!B:B,'1. Scope &amp; Goals'!C:C)</f>
        <v>Yes</v>
      </c>
      <c r="D21" s="45" t="str">
        <f>_xlfn.LET(_xlpm.val,_xlfn.XLOOKUP(B21,'1. Scope &amp; Goals'!B:B,'1. Scope &amp; Goals'!D:D), IF(_xlpm.val="Select…. ","N/A",_xlpm.val))</f>
        <v>N/A</v>
      </c>
      <c r="E21" s="45" t="str">
        <v>M1.1</v>
      </c>
      <c r="F21" s="57" t="str">
        <f>IF(C21="No", "Not In Scope", IF('2-3. Assessment &amp; Actions'!P54="Select…. ","Not Answered",IF('2-3. Assessment &amp; Actions'!P54&gt;=1,"Passed","Failed")))</f>
        <v>Not Answered</v>
      </c>
      <c r="G21" s="57" t="str">
        <f>IF(C21="No", "Not In Scope", IF('2-3. Assessment &amp; Actions'!P54="Select…. ","Not Answered",IF('2-3. Assessment &amp; Actions'!P54&gt;=2,"Passed","Failed")))</f>
        <v>Not Answered</v>
      </c>
      <c r="H21" s="57" t="str">
        <f>IF(C21="No", "Not In Scope", IF('2-3. Assessment &amp; Actions'!P54="Select…. ","Not Answered",IF('2-3. Assessment &amp; Actions'!P54&gt;=3,"Passed","Failed")))</f>
        <v>Not Answered</v>
      </c>
      <c r="I21" s="30" t="str">
        <f>IF(D21="N/A", "No target set", IF('2-3. Assessment &amp; Actions'!P54="Select…. ", "No results given", IF('2-3. Assessment &amp; Actions'!P54&gt;=D21, "Targets met","Targets not met")))</f>
        <v>No target set</v>
      </c>
      <c r="J21" s="30" t="str">
        <f>IF(C21="No", "Not In Scope", IF('2-3. Assessment &amp; Actions'!P54="Select…. ","Not Answered",IF('2-3. Assessment &amp; Actions'!P54=1,'2-3. Assessment &amp; Actions'!L54,(IF('2-3. Assessment &amp; Actions'!P54=2,'2-3. Assessment &amp; Actions'!L55,'2-3. Assessment &amp; Actions'!L56)))))</f>
        <v>Not Answered</v>
      </c>
      <c r="K21" s="26"/>
    </row>
    <row r="22" spans="1:11" ht="22" x14ac:dyDescent="0.3">
      <c r="A22" s="26"/>
      <c r="B22" s="64" t="str">
        <f>_xlfn.XLOOKUP(E22,'2-3. Assessment &amp; Actions'!D:D,'2-3. Assessment &amp; Actions'!B:B)</f>
        <v>M2: Use of environmental metrics in planning and reporting</v>
      </c>
      <c r="C22" s="45" t="str">
        <f>_xlfn.XLOOKUP(B22, '1. Scope &amp; Goals'!B:B,'1. Scope &amp; Goals'!C:C)</f>
        <v>Yes</v>
      </c>
      <c r="D22" s="45" t="str">
        <f>_xlfn.LET(_xlpm.val,_xlfn.XLOOKUP(B22,'1. Scope &amp; Goals'!B:B,'1. Scope &amp; Goals'!D:D), IF(_xlpm.val="Select…. ","N/A",_xlpm.val))</f>
        <v>N/A</v>
      </c>
      <c r="E22" s="45" t="str">
        <v>M2.1</v>
      </c>
      <c r="F22" s="57" t="str">
        <f>IF(C22="No", "Not In Scope", IF('2-3. Assessment &amp; Actions'!P57="Select…. ","Not Answered",IF('2-3. Assessment &amp; Actions'!P57&gt;=1,"Passed","Failed")))</f>
        <v>Not Answered</v>
      </c>
      <c r="G22" s="57" t="str">
        <f>IF(C22="No", "Not In Scope", IF('2-3. Assessment &amp; Actions'!P57="Select…. ","Not Answered",IF('2-3. Assessment &amp; Actions'!P57&gt;=2,"Passed","Failed")))</f>
        <v>Not Answered</v>
      </c>
      <c r="H22" s="57" t="str">
        <f>IF(C22="No", "Not In Scope", IF('2-3. Assessment &amp; Actions'!P57="Select…. ","Not Answered",IF('2-3. Assessment &amp; Actions'!P57&gt;=3,"Passed","Failed")))</f>
        <v>Not Answered</v>
      </c>
      <c r="I22" s="30" t="str">
        <f>IF(D22="N/A", "No target set", IF('2-3. Assessment &amp; Actions'!P57="Select…. ", "No results given", IF('2-3. Assessment &amp; Actions'!P57&gt;=D22, "Targets met","Targets not met")))</f>
        <v>No target set</v>
      </c>
      <c r="J22" s="30" t="str">
        <f>IF(C22="No", "Not In Scope", IF('2-3. Assessment &amp; Actions'!P57="Select…. ","Not Answered",IF('2-3. Assessment &amp; Actions'!P57=1,'2-3. Assessment &amp; Actions'!L57,(IF('2-3. Assessment &amp; Actions'!P57=2,'2-3. Assessment &amp; Actions'!L58,'2-3. Assessment &amp; Actions'!L59)))))</f>
        <v>Not Answered</v>
      </c>
      <c r="K22" s="26"/>
    </row>
    <row r="23" spans="1:11" ht="22" x14ac:dyDescent="0.3">
      <c r="A23" s="26"/>
      <c r="B23" s="64" t="str">
        <f>_xlfn.XLOOKUP(E23,'2-3. Assessment &amp; Actions'!D:D,'2-3. Assessment &amp; Actions'!B:B)</f>
        <v>M3: Lifecycle-based environmental impact assessment (based on LCA methodology)</v>
      </c>
      <c r="C23" s="45" t="str">
        <f>_xlfn.XLOOKUP(B23, '1. Scope &amp; Goals'!B:B,'1. Scope &amp; Goals'!C:C)</f>
        <v>Yes</v>
      </c>
      <c r="D23" s="45" t="str">
        <f>_xlfn.LET(_xlpm.val,_xlfn.XLOOKUP(B23,'1. Scope &amp; Goals'!B:B,'1. Scope &amp; Goals'!D:D), IF(_xlpm.val="Select…. ","N/A",_xlpm.val))</f>
        <v>N/A</v>
      </c>
      <c r="E23" s="45" t="str">
        <v>M3.1</v>
      </c>
      <c r="F23" s="57" t="str">
        <f>IF(C23="No", "Not In Scope", IF('2-3. Assessment &amp; Actions'!P60="Select…. ","Not Answered",IF('2-3. Assessment &amp; Actions'!P60&gt;=1,"Passed","Failed")))</f>
        <v>Not Answered</v>
      </c>
      <c r="G23" s="57" t="str">
        <f>IF(C23="No", "Not In Scope", IF('2-3. Assessment &amp; Actions'!P60="Select…. ","Not Answered",IF('2-3. Assessment &amp; Actions'!P60&gt;=2,"Passed","Failed")))</f>
        <v>Not Answered</v>
      </c>
      <c r="H23" s="57" t="str">
        <f>IF(C23="No", "Not In Scope", IF('2-3. Assessment &amp; Actions'!P60="Select…. ","Not Answered",IF('2-3. Assessment &amp; Actions'!P60&gt;=3,"Passed","Failed")))</f>
        <v>Not Answered</v>
      </c>
      <c r="I23" s="30" t="str">
        <f>IF(D23="N/A", "No target set", IF('2-3. Assessment &amp; Actions'!P60="Select…. ", "No results given", IF('2-3. Assessment &amp; Actions'!P60&gt;=D23, "Targets met","Targets not met")))</f>
        <v>No target set</v>
      </c>
      <c r="J23" s="30" t="str">
        <f>IF(C23="No", "Not In Scope", IF('2-3. Assessment &amp; Actions'!P60="Select…. ","Not Answered",IF('2-3. Assessment &amp; Actions'!P60=1,'2-3. Assessment &amp; Actions'!L60,(IF('2-3. Assessment &amp; Actions'!P60=2,'2-3. Assessment &amp; Actions'!L61,'2-3. Assessment &amp; Actions'!L62)))))</f>
        <v>Not Answered</v>
      </c>
      <c r="K23" s="26"/>
    </row>
    <row r="24" spans="1:11" ht="22" x14ac:dyDescent="0.3">
      <c r="A24" s="26"/>
      <c r="B24" s="64" t="str">
        <f>_xlfn.XLOOKUP(E24,'2-3. Assessment &amp; Actions'!D:D,'2-3. Assessment &amp; Actions'!B:B)</f>
        <v>M4: Use of WUE (Water Usage Effectiveness) or similar water metrics</v>
      </c>
      <c r="C24" s="45" t="str">
        <f>_xlfn.XLOOKUP(B24, '1. Scope &amp; Goals'!B:B,'1. Scope &amp; Goals'!C:C)</f>
        <v>Yes</v>
      </c>
      <c r="D24" s="45" t="str">
        <f>_xlfn.LET(_xlpm.val,_xlfn.XLOOKUP(B24,'1. Scope &amp; Goals'!B:B,'1. Scope &amp; Goals'!D:D), IF(_xlpm.val="Select…. ","N/A",_xlpm.val))</f>
        <v>N/A</v>
      </c>
      <c r="E24" s="45" t="str">
        <v>M4.1</v>
      </c>
      <c r="F24" s="57" t="str">
        <f>IF(C24="No", "Not In Scope", IF('2-3. Assessment &amp; Actions'!P63="Select…. ","Not Answered",IF('2-3. Assessment &amp; Actions'!P63&gt;=1,"Passed","Failed")))</f>
        <v>Not Answered</v>
      </c>
      <c r="G24" s="57" t="str">
        <f>IF(C24="No", "Not In Scope", IF('2-3. Assessment &amp; Actions'!P63="Select…. ","Not Answered",IF('2-3. Assessment &amp; Actions'!P63&gt;=2,"Passed","Failed")))</f>
        <v>Not Answered</v>
      </c>
      <c r="H24" s="58" t="str">
        <f>IF(C24="No", "Not In Scope", IF('2-3. Assessment &amp; Actions'!P63="Select…. ","Not Answered",IF('2-3. Assessment &amp; Actions'!P63&gt;=3,"Passed","Failed")))</f>
        <v>Not Answered</v>
      </c>
      <c r="I24" s="30" t="str">
        <f>IF(D24="N/A", "No target set", IF('2-3. Assessment &amp; Actions'!P63="Select…. ", "No results given", IF('2-3. Assessment &amp; Actions'!P63&gt;=D24, "Targets met","Targets not met")))</f>
        <v>No target set</v>
      </c>
      <c r="J24" s="30" t="str">
        <f>IF(C24="No", "Not In Scope", IF('2-3. Assessment &amp; Actions'!P63="Select…. ","Not Answered",IF('2-3. Assessment &amp; Actions'!P63=1,'2-3. Assessment &amp; Actions'!L64,(IF('2-3. Assessment &amp; Actions'!P63=2,'2-3. Assessment &amp; Actions'!L64,'2-3. Assessment &amp; Actions'!L65)))))</f>
        <v>Not Answered</v>
      </c>
      <c r="K24" s="26"/>
    </row>
    <row r="25" spans="1:11" ht="22" x14ac:dyDescent="0.3">
      <c r="A25" s="26"/>
      <c r="B25" s="64" t="str">
        <f>_xlfn.XLOOKUP(E25,'2-3. Assessment &amp; Actions'!D:D,'2-3. Assessment &amp; Actions'!B:B)</f>
        <v>M5: Implementation of monitoring tools/platforms</v>
      </c>
      <c r="C25" s="45" t="str">
        <f>_xlfn.XLOOKUP(B25, '1. Scope &amp; Goals'!B:B,'1. Scope &amp; Goals'!C:C)</f>
        <v>Yes</v>
      </c>
      <c r="D25" s="45" t="str">
        <f>_xlfn.LET(_xlpm.val,_xlfn.XLOOKUP(B25,'1. Scope &amp; Goals'!B:B,'1. Scope &amp; Goals'!D:D), IF(_xlpm.val="Select…. ","N/A",_xlpm.val))</f>
        <v>N/A</v>
      </c>
      <c r="E25" s="45" t="str">
        <v>M5.1</v>
      </c>
      <c r="F25" s="57" t="str">
        <f>IF(C25="No", "Not In Scope", IF('2-3. Assessment &amp; Actions'!P66="Select…. ","Not Answered",IF('2-3. Assessment &amp; Actions'!P66&gt;=1,"Passed","Failed")))</f>
        <v>Not Answered</v>
      </c>
      <c r="G25" s="57" t="str">
        <f>IF(D25="No", "Not In Scope", IF('2-3. Assessment &amp; Actions'!P66="Select…. ","Not Answered",IF('2-3. Assessment &amp; Actions'!P66&gt;=2,"Passed","Failed")))</f>
        <v>Not Answered</v>
      </c>
      <c r="H25" s="58" t="str">
        <f>IF(C25="No", "Not In Scope", IF('2-3. Assessment &amp; Actions'!P66="Select…. ","Not Answered",IF('2-3. Assessment &amp; Actions'!P66&gt;=3,"Passed","Failed")))</f>
        <v>Not Answered</v>
      </c>
      <c r="I25" s="30" t="str">
        <f>IF(D25="N/A", "No target set", IF('2-3. Assessment &amp; Actions'!P66="Select…. ", "No results given", IF('2-3. Assessment &amp; Actions'!P66&gt;=D25, "Targets met","Targets not met")))</f>
        <v>No target set</v>
      </c>
      <c r="J25" s="30" t="str">
        <f>IF(C25="No", "Not In Scope", IF('2-3. Assessment &amp; Actions'!P66="Select…. ","Not Answered",IF('2-3. Assessment &amp; Actions'!P66=1,'2-3. Assessment &amp; Actions'!L66,(IF('2-3. Assessment &amp; Actions'!P66=2,'2-3. Assessment &amp; Actions'!L67,'2-3. Assessment &amp; Actions'!L68)))))</f>
        <v>Not Answered</v>
      </c>
      <c r="K25" s="26"/>
    </row>
    <row r="26" spans="1:11" ht="22" x14ac:dyDescent="0.3">
      <c r="A26" s="26"/>
      <c r="B26" s="69" t="str">
        <f>_xlfn.XLOOKUP(E26,'2-3. Assessment &amp; Actions'!D:D,'2-3. Assessment &amp; Actions'!B:B)</f>
        <v>P1: Reduction of operational waste (incl. e-waste)</v>
      </c>
      <c r="C26" s="68" t="str">
        <f>_xlfn.XLOOKUP(B26, '1. Scope &amp; Goals'!B:B,'1. Scope &amp; Goals'!C:C)</f>
        <v>Yes</v>
      </c>
      <c r="D26" s="68" t="str">
        <f>_xlfn.LET(_xlpm.val,_xlfn.XLOOKUP(B26,'1. Scope &amp; Goals'!B:B,'1. Scope &amp; Goals'!D:D), IF(_xlpm.val="Select…. ","N/A",_xlpm.val))</f>
        <v>N/A</v>
      </c>
      <c r="E26" s="68" t="str">
        <v>P1.1</v>
      </c>
      <c r="F26" s="57" t="str">
        <f>IF(C26="No", "Not In Scope", IF('2-3. Assessment &amp; Actions'!P70="Select…. ","Not Answered",IF('2-3. Assessment &amp; Actions'!P70&gt;=1,"Passed","Failed")))</f>
        <v>Not Answered</v>
      </c>
      <c r="G26" s="57" t="str">
        <f>IF(C26="No", "Not In Scope", IF('2-3. Assessment &amp; Actions'!P70="Select…. ","Not Answered",IF('2-3. Assessment &amp; Actions'!P70&gt;=2,"Passed","Failed")))</f>
        <v>Not Answered</v>
      </c>
      <c r="H26" s="57" t="str">
        <f>IF(C26="No", "Not In Scope", IF('2-3. Assessment &amp; Actions'!P70="Select…. ","Not Answered",IF('2-3. Assessment &amp; Actions'!P70&gt;=3,"Passed","Failed")))</f>
        <v>Not Answered</v>
      </c>
      <c r="I26" s="30" t="str">
        <f>IF(D26="N/A", "No target set", IF('2-3. Assessment &amp; Actions'!P70="Select…. ", "No results given", IF('2-3. Assessment &amp; Actions'!P70&gt;=D26, "Targets met","Targets not met")))</f>
        <v>No target set</v>
      </c>
      <c r="J26" s="30" t="str">
        <f>IF(C26="No", "Not In Scope", IF('2-3. Assessment &amp; Actions'!P70="Select…. ","Not Answered",IF('2-3. Assessment &amp; Actions'!P70=1,'2-3. Assessment &amp; Actions'!L70,(IF('2-3. Assessment &amp; Actions'!P70=2,'2-3. Assessment &amp; Actions'!L71,'2-3. Assessment &amp; Actions'!L72)))))</f>
        <v>Not Answered</v>
      </c>
      <c r="K26" s="26"/>
    </row>
    <row r="27" spans="1:11" ht="22" x14ac:dyDescent="0.3">
      <c r="A27" s="26"/>
      <c r="B27" s="69" t="str">
        <f>_xlfn.XLOOKUP(E27,'2-3. Assessment &amp; Actions'!D:D,'2-3. Assessment &amp; Actions'!B:B)</f>
        <v>P2: End-of-life management for equipment</v>
      </c>
      <c r="C27" s="68" t="str">
        <f>_xlfn.XLOOKUP(B27, '1. Scope &amp; Goals'!B:B,'1. Scope &amp; Goals'!C:C)</f>
        <v>Yes</v>
      </c>
      <c r="D27" s="68" t="str">
        <f>_xlfn.LET(_xlpm.val,_xlfn.XLOOKUP(B27,'1. Scope &amp; Goals'!B:B,'1. Scope &amp; Goals'!D:D), IF(_xlpm.val="Select…. ","N/A",_xlpm.val))</f>
        <v>N/A</v>
      </c>
      <c r="E27" s="68" t="str">
        <v>P2.1</v>
      </c>
      <c r="F27" s="57" t="str">
        <f>IF(C27="No", "Not In Scope", IF('2-3. Assessment &amp; Actions'!P73="Select…. ","Not Answered",IF('2-3. Assessment &amp; Actions'!P73&gt;=1,"Passed","Failed")))</f>
        <v>Not Answered</v>
      </c>
      <c r="G27" s="57" t="str">
        <f>IF(C27="No", "Not In Scope", IF('2-3. Assessment &amp; Actions'!P73="Select…. ","Not Answered",IF('2-3. Assessment &amp; Actions'!P73&gt;=2,"Passed","Failed")))</f>
        <v>Not Answered</v>
      </c>
      <c r="H27" s="57" t="str">
        <f>IF(C27="No", "Not In Scope", IF('2-3. Assessment &amp; Actions'!P73="Select…. ","Not Answered",IF('2-3. Assessment &amp; Actions'!P73&gt;=3,"Passed","Failed")))</f>
        <v>Not Answered</v>
      </c>
      <c r="I27" s="30" t="str">
        <f>IF(D27="N/A", "No target set", IF('2-3. Assessment &amp; Actions'!P73="Select…. ", "No results given", IF('2-3. Assessment &amp; Actions'!P73&gt;=D27, "Targets met","Targets not met")))</f>
        <v>No target set</v>
      </c>
      <c r="J27" s="30" t="str">
        <f>IF(C27="No", "Not In Scope", IF('2-3. Assessment &amp; Actions'!P73="Select…. ","Not Answered",IF('2-3. Assessment &amp; Actions'!P73=1,'2-3. Assessment &amp; Actions'!L73,(IF('2-3. Assessment &amp; Actions'!P73=2,'2-3. Assessment &amp; Actions'!L74,'2-3. Assessment &amp; Actions'!L75)))))</f>
        <v>Not Answered</v>
      </c>
      <c r="K27" s="26"/>
    </row>
    <row r="28" spans="1:11" ht="22" x14ac:dyDescent="0.3">
      <c r="A28" s="26"/>
      <c r="B28" s="69" t="str">
        <f>_xlfn.XLOOKUP(E28,'2-3. Assessment &amp; Actions'!D:D,'2-3. Assessment &amp; Actions'!B:B)</f>
        <v>P3: Circular IT practices (reuse, remanufacturing, modularity)</v>
      </c>
      <c r="C28" s="68" t="str">
        <f>_xlfn.XLOOKUP(B28, '1. Scope &amp; Goals'!B:B,'1. Scope &amp; Goals'!C:C)</f>
        <v>Yes</v>
      </c>
      <c r="D28" s="68" t="str">
        <f>_xlfn.LET(_xlpm.val,_xlfn.XLOOKUP(B28,'1. Scope &amp; Goals'!B:B,'1. Scope &amp; Goals'!D:D), IF(_xlpm.val="Select…. ","N/A",_xlpm.val))</f>
        <v>N/A</v>
      </c>
      <c r="E28" s="68" t="str">
        <v>P3.1</v>
      </c>
      <c r="F28" s="57" t="str">
        <f>IF(C28="No", "Not In Scope", IF('2-3. Assessment &amp; Actions'!P76="Select…. ","Not Answered",IF('2-3. Assessment &amp; Actions'!P76&gt;=1,"Passed","Failed")))</f>
        <v>Not Answered</v>
      </c>
      <c r="G28" s="57" t="str">
        <f>IF(C28="No", "Not In Scope", IF('2-3. Assessment &amp; Actions'!P76="Select…. ","Not Answered",IF('2-3. Assessment &amp; Actions'!P76&gt;=2,"Passed","Failed")))</f>
        <v>Not Answered</v>
      </c>
      <c r="H28" s="57" t="str">
        <f>IF(C28="No", "Not In Scope", IF('2-3. Assessment &amp; Actions'!P76="Select…. ","Not Answered",IF('2-3. Assessment &amp; Actions'!P76&gt;=3,"Passed","Failed")))</f>
        <v>Not Answered</v>
      </c>
      <c r="I28" s="30" t="str">
        <f>IF(D28="N/A", "No target set", IF('2-3. Assessment &amp; Actions'!P76="Select…. ", "No results given", IF('2-3. Assessment &amp; Actions'!P76&gt;=D28, "Targets met","Targets not met")))</f>
        <v>No target set</v>
      </c>
      <c r="J28" s="30" t="str">
        <f>IF(C28="No", "Not In Scope", IF('2-3. Assessment &amp; Actions'!P76="Select…. ","Not Answered",IF('2-3. Assessment &amp; Actions'!P76=1,'2-3. Assessment &amp; Actions'!L76,(IF('2-3. Assessment &amp; Actions'!P76=2,'2-3. Assessment &amp; Actions'!L77,'2-3. Assessment &amp; Actions'!L78)))))</f>
        <v>Not Answered</v>
      </c>
      <c r="K28" s="26"/>
    </row>
    <row r="29" spans="1:11" ht="22" x14ac:dyDescent="0.3">
      <c r="A29" s="26"/>
      <c r="B29" s="69" t="str">
        <f>_xlfn.XLOOKUP(E29,'2-3. Assessment &amp; Actions'!D:D,'2-3. Assessment &amp; Actions'!B:B)</f>
        <v>P4: Pollution control (air, water, soil)</v>
      </c>
      <c r="C29" s="68" t="str">
        <f>_xlfn.XLOOKUP(B29, '1. Scope &amp; Goals'!B:B,'1. Scope &amp; Goals'!C:C)</f>
        <v>Yes</v>
      </c>
      <c r="D29" s="68" t="str">
        <f>_xlfn.LET(_xlpm.val,_xlfn.XLOOKUP(B29,'1. Scope &amp; Goals'!B:B,'1. Scope &amp; Goals'!D:D), IF(_xlpm.val="Select…. ","N/A",_xlpm.val))</f>
        <v>N/A</v>
      </c>
      <c r="E29" s="68" t="str">
        <v>P4.1</v>
      </c>
      <c r="F29" s="57" t="str">
        <f>IF(C29="No", "Not In Scope", IF('2-3. Assessment &amp; Actions'!P79="Select…. ","Not Answered",IF('2-3. Assessment &amp; Actions'!P79&gt;=1,"Passed","Failed")))</f>
        <v>Not Answered</v>
      </c>
      <c r="G29" s="57" t="str">
        <f>IF(C29="No", "Not In Scope", IF('2-3. Assessment &amp; Actions'!P79="Select…. ","Not Answered",IF('2-3. Assessment &amp; Actions'!P79&gt;=2,"Passed","Failed")))</f>
        <v>Not Answered</v>
      </c>
      <c r="H29" s="58" t="str">
        <f>IF(C29="No", "Not In Scope", IF('2-3. Assessment &amp; Actions'!P79="Select…. ","Not Answered",IF('2-3. Assessment &amp; Actions'!P79&gt;=3,"Passed","Failed")))</f>
        <v>Not Answered</v>
      </c>
      <c r="I29" s="30" t="str">
        <f>IF(D29="N/A", "No target set", IF('2-3. Assessment &amp; Actions'!P79="Select…. ", "No results given", IF('2-3. Assessment &amp; Actions'!P79&gt;=D29, "Targets met","Targets not met")))</f>
        <v>No target set</v>
      </c>
      <c r="J29" s="30" t="str">
        <f>IF(C29="No", "Not In Scope", IF('2-3. Assessment &amp; Actions'!P79="Select…. ","Not Answered",IF('2-3. Assessment &amp; Actions'!P79=1,'2-3. Assessment &amp; Actions'!L79,(IF('2-3. Assessment &amp; Actions'!P79=2,'2-3. Assessment &amp; Actions'!L80,'2-3. Assessment &amp; Actions'!L81)))))</f>
        <v>Not Answered</v>
      </c>
      <c r="K29" s="26"/>
    </row>
    <row r="30" spans="1:11" ht="22" x14ac:dyDescent="0.3">
      <c r="A30" s="26"/>
      <c r="B30" s="69" t="str">
        <f>_xlfn.XLOOKUP(E30,'2-3. Assessment &amp; Actions'!D:D,'2-3. Assessment &amp; Actions'!B:B)</f>
        <v>P5: Use of low-impact or non-toxic materials</v>
      </c>
      <c r="C30" s="68" t="str">
        <f>_xlfn.XLOOKUP(B30, '1. Scope &amp; Goals'!B:B,'1. Scope &amp; Goals'!C:C)</f>
        <v>Yes</v>
      </c>
      <c r="D30" s="68" t="str">
        <f>_xlfn.LET(_xlpm.val,_xlfn.XLOOKUP(B30,'1. Scope &amp; Goals'!B:B,'1. Scope &amp; Goals'!D:D), IF(_xlpm.val="Select…. ","N/A",_xlpm.val))</f>
        <v>N/A</v>
      </c>
      <c r="E30" s="68" t="str">
        <v>P5.1</v>
      </c>
      <c r="F30" s="57" t="str">
        <f>IF(C30="No", "Not In Scope", IF('2-3. Assessment &amp; Actions'!P82="Select…. ","Not Answered",IF('2-3. Assessment &amp; Actions'!P82&gt;=1,"Passed","Failed")))</f>
        <v>Not Answered</v>
      </c>
      <c r="G30" s="57" t="str">
        <f>IF(D30="No", "Not In Scope", IF('2-3. Assessment &amp; Actions'!P82="Select…. ","Not Answered",IF('2-3. Assessment &amp; Actions'!P82&gt;=2,"Passed","Failed")))</f>
        <v>Not Answered</v>
      </c>
      <c r="H30" s="58" t="str">
        <f>IF(C30="No", "Not In Scope", IF('2-3. Assessment &amp; Actions'!P82="Select…. ","Not Answered",IF('2-3. Assessment &amp; Actions'!P82&gt;=3,"Passed","Failed")))</f>
        <v>Not Answered</v>
      </c>
      <c r="I30" s="30" t="str">
        <f>IF(D30="N/A", "No target set", IF('2-3. Assessment &amp; Actions'!P82="Select…. ", "No results given", IF('2-3. Assessment &amp; Actions'!P82&gt;=D30, "Targets met","Targets not met")))</f>
        <v>No target set</v>
      </c>
      <c r="J30" s="30" t="str">
        <f>IF(C30="No", "Not In Scope", IF('2-3. Assessment &amp; Actions'!P82="Select…. ","Not Answered",IF('2-3. Assessment &amp; Actions'!P82=1,'2-3. Assessment &amp; Actions'!L82,(IF('2-3. Assessment &amp; Actions'!P82=2,'2-3. Assessment &amp; Actions'!L83,'2-3. Assessment &amp; Actions'!L84)))))</f>
        <v>Not Answered</v>
      </c>
      <c r="K30" s="26"/>
    </row>
    <row r="31" spans="1:11" ht="22" x14ac:dyDescent="0.3">
      <c r="A31" s="26"/>
      <c r="B31" s="71" t="str">
        <f>_xlfn.XLOOKUP(E31,'2-3. Assessment &amp; Actions'!D:D,'2-3. Assessment &amp; Actions'!B:B)</f>
        <v>W1: Water usage monitoring and reduction strategies</v>
      </c>
      <c r="C31" s="67" t="str">
        <f>_xlfn.XLOOKUP(B31, '1. Scope &amp; Goals'!B:B,'1. Scope &amp; Goals'!C:C)</f>
        <v>Yes</v>
      </c>
      <c r="D31" s="67" t="str">
        <f>_xlfn.LET(_xlpm.val,_xlfn.XLOOKUP(B31,'1. Scope &amp; Goals'!B:B,'1. Scope &amp; Goals'!D:D), IF(_xlpm.val="Select…. ","N/A",_xlpm.val))</f>
        <v>N/A</v>
      </c>
      <c r="E31" s="67" t="str">
        <v>W1.1</v>
      </c>
      <c r="F31" s="57" t="str">
        <f>IF(C31="No", "Not In Scope", IF('2-3. Assessment &amp; Actions'!P86="Select…. ","Not Answered",IF('2-3. Assessment &amp; Actions'!P86&gt;=1,"Passed","Failed")))</f>
        <v>Not Answered</v>
      </c>
      <c r="G31" s="57" t="str">
        <f>IF(C31="No", "Not In Scope", IF('2-3. Assessment &amp; Actions'!P86="Select…. ","Not Answered",IF('2-3. Assessment &amp; Actions'!P86&gt;=2,"Passed","Failed")))</f>
        <v>Not Answered</v>
      </c>
      <c r="H31" s="57" t="str">
        <f>IF(C31="No", "Not In Scope", IF('2-3. Assessment &amp; Actions'!P86="Select…. ","Not Answered",IF('2-3. Assessment &amp; Actions'!P86&gt;=3,"Passed","Failed")))</f>
        <v>Not Answered</v>
      </c>
      <c r="I31" s="30" t="str">
        <f>IF(D31="N/A", "No target set", IF('2-3. Assessment &amp; Actions'!P86="Select…. ", "No results given", IF('2-3. Assessment &amp; Actions'!P86&gt;=D31, "Targets met","Targets not met")))</f>
        <v>No target set</v>
      </c>
      <c r="J31" s="30" t="str">
        <f>IF(C31="No", "Not In Scope", IF('2-3. Assessment &amp; Actions'!P86="Select…. ","Not Answered",IF('2-3. Assessment &amp; Actions'!P86=1,'2-3. Assessment &amp; Actions'!L86,(IF('2-3. Assessment &amp; Actions'!P86=2,'2-3. Assessment &amp; Actions'!L87,'2-3. Assessment &amp; Actions'!L88)))))</f>
        <v>Not Answered</v>
      </c>
      <c r="K31" s="26"/>
    </row>
    <row r="32" spans="1:11" ht="22" x14ac:dyDescent="0.3">
      <c r="A32" s="26"/>
      <c r="B32" s="71" t="str">
        <f>_xlfn.XLOOKUP(E32,'2-3. Assessment &amp; Actions'!D:D,'2-3. Assessment &amp; Actions'!B:B)</f>
        <v>W2: Impact on local ecosystems or biodiversity</v>
      </c>
      <c r="C32" s="67" t="str">
        <f>_xlfn.XLOOKUP(B32, '1. Scope &amp; Goals'!B:B,'1. Scope &amp; Goals'!C:C)</f>
        <v>Yes</v>
      </c>
      <c r="D32" s="67" t="str">
        <f>_xlfn.LET(_xlpm.val,_xlfn.XLOOKUP(B32,'1. Scope &amp; Goals'!B:B,'1. Scope &amp; Goals'!D:D), IF(_xlpm.val="Select…. ","N/A",_xlpm.val))</f>
        <v>N/A</v>
      </c>
      <c r="E32" s="67" t="str">
        <v>W2.1</v>
      </c>
      <c r="F32" s="57" t="str">
        <f>IF(C32="No", "Not In Scope", IF('2-3. Assessment &amp; Actions'!P89="Select…. ","Not Answered",IF('2-3. Assessment &amp; Actions'!P89&gt;=1,"Passed","Failed")))</f>
        <v>Not Answered</v>
      </c>
      <c r="G32" s="57" t="str">
        <f>IF(C32="No", "Not In Scope", IF('2-3. Assessment &amp; Actions'!P89="Select…. ","Not Answered",IF('2-3. Assessment &amp; Actions'!P89&gt;=2,"Passed","Failed")))</f>
        <v>Not Answered</v>
      </c>
      <c r="H32" s="57" t="str">
        <f>IF(C32="No", "Not In Scope", IF('2-3. Assessment &amp; Actions'!P89="Select…. ","Not Answered",IF('2-3. Assessment &amp; Actions'!P89&gt;=3,"Passed","Failed")))</f>
        <v>Not Answered</v>
      </c>
      <c r="I32" s="30" t="str">
        <f>IF(D32="N/A", "No target set", IF('2-3. Assessment &amp; Actions'!P89="Select…. ", "No results given", IF('2-3. Assessment &amp; Actions'!P89&gt;=D32, "Targets met","Targets not met")))</f>
        <v>No target set</v>
      </c>
      <c r="J32" s="30" t="str">
        <f>IF(C32="No", "Not In Scope", IF('2-3. Assessment &amp; Actions'!P89="Select…. ","Not Answered",IF('2-3. Assessment &amp; Actions'!P89=1,'2-3. Assessment &amp; Actions'!L89,(IF('2-3. Assessment &amp; Actions'!P89=2,'2-3. Assessment &amp; Actions'!L90,'2-3. Assessment &amp; Actions'!L91)))))</f>
        <v>Not Answered</v>
      </c>
      <c r="K32" s="26"/>
    </row>
    <row r="33" spans="1:11" ht="22" x14ac:dyDescent="0.3">
      <c r="A33" s="26"/>
      <c r="B33" s="71" t="str">
        <f>_xlfn.XLOOKUP(E33,'2-3. Assessment &amp; Actions'!D:D,'2-3. Assessment &amp; Actions'!B:B)</f>
        <v>W3: Rainwater harvesting, reuse, or runoff management</v>
      </c>
      <c r="C33" s="67" t="str">
        <f>_xlfn.XLOOKUP(B33, '1. Scope &amp; Goals'!B:B,'1. Scope &amp; Goals'!C:C)</f>
        <v>Yes</v>
      </c>
      <c r="D33" s="67" t="str">
        <f>_xlfn.LET(_xlpm.val,_xlfn.XLOOKUP(B33,'1. Scope &amp; Goals'!B:B,'1. Scope &amp; Goals'!D:D), IF(_xlpm.val="Select…. ","N/A",_xlpm.val))</f>
        <v>N/A</v>
      </c>
      <c r="E33" s="67" t="str">
        <v>W3.1</v>
      </c>
      <c r="F33" s="57" t="str">
        <f>IF(C33="No", "Not In Scope", IF('2-3. Assessment &amp; Actions'!P92="Select…. ","Not Answered",IF('2-3. Assessment &amp; Actions'!P92&gt;=1,"Passed","Failed")))</f>
        <v>Not Answered</v>
      </c>
      <c r="G33" s="57" t="str">
        <f>IF(C33="No", "Not In Scope", IF('2-3. Assessment &amp; Actions'!P92="Select…. ","Not Answered",IF('2-3. Assessment &amp; Actions'!P92&gt;=2,"Passed","Failed")))</f>
        <v>Not Answered</v>
      </c>
      <c r="H33" s="57" t="str">
        <f>IF(C33="No", "Not In Scope", IF('2-3. Assessment &amp; Actions'!P92="Select…. ","Not Answered",IF('2-3. Assessment &amp; Actions'!P92&gt;=3,"Passed","Failed")))</f>
        <v>Not Answered</v>
      </c>
      <c r="I33" s="30" t="str">
        <f>IF(D33="N/A", "No target set", IF('2-3. Assessment &amp; Actions'!P92="Select…. ", "No results given", IF('2-3. Assessment &amp; Actions'!P92&gt;=D33, "Targets met","Targets not met")))</f>
        <v>No target set</v>
      </c>
      <c r="J33" s="30" t="str">
        <f>IF(C33="No", "Not In Scope", IF('2-3. Assessment &amp; Actions'!P92="Select…. ","Not Answered",IF('2-3. Assessment &amp; Actions'!P92=1,'2-3. Assessment &amp; Actions'!L92,(IF('2-3. Assessment &amp; Actions'!P92=2,'2-3. Assessment &amp; Actions'!L93,'2-3. Assessment &amp; Actions'!L94)))))</f>
        <v>Not Answered</v>
      </c>
      <c r="K33" s="26"/>
    </row>
    <row r="34" spans="1:11" ht="22" x14ac:dyDescent="0.3">
      <c r="A34" s="26"/>
      <c r="B34" s="71" t="str">
        <f>_xlfn.XLOOKUP(E34,'2-3. Assessment &amp; Actions'!D:D,'2-3. Assessment &amp; Actions'!B:B)</f>
        <v>W4: Water-based cooling systems and water efficiency strategies</v>
      </c>
      <c r="C34" s="67" t="str">
        <f>_xlfn.XLOOKUP(B34, '1. Scope &amp; Goals'!B:B,'1. Scope &amp; Goals'!C:C)</f>
        <v>Yes</v>
      </c>
      <c r="D34" s="67" t="str">
        <f>_xlfn.LET(_xlpm.val,_xlfn.XLOOKUP(B34,'1. Scope &amp; Goals'!B:B,'1. Scope &amp; Goals'!D:D), IF(_xlpm.val="Select…. ","N/A",_xlpm.val))</f>
        <v>N/A</v>
      </c>
      <c r="E34" s="67" t="str">
        <v>W4.1</v>
      </c>
      <c r="F34" s="57" t="str">
        <f>IF(C34="No", "Not In Scope", IF('2-3. Assessment &amp; Actions'!P95="Select…. ","Not Answered",IF('2-3. Assessment &amp; Actions'!P95&gt;=1,"Passed","Failed")))</f>
        <v>Not Answered</v>
      </c>
      <c r="G34" s="57" t="str">
        <f>IF(C34="No", "Not In Scope", IF('2-3. Assessment &amp; Actions'!P95="Select…. ","Not Answered",IF('2-3. Assessment &amp; Actions'!P95&gt;=2,"Passed","Failed")))</f>
        <v>Not Answered</v>
      </c>
      <c r="H34" s="57" t="str">
        <f>IF(C34="No", "Not In Scope", IF('2-3. Assessment &amp; Actions'!P95="Select…. ","Not Answered",IF('2-3. Assessment &amp; Actions'!P95&gt;=3,"Passed","Failed")))</f>
        <v>Not Answered</v>
      </c>
      <c r="I34" s="30" t="str">
        <f>IF(D34="N/A", "No target set", IF('2-3. Assessment &amp; Actions'!P95="Select…. ", "No results given", IF('2-3. Assessment &amp; Actions'!P95&gt;=D34, "Targets met","Targets not met")))</f>
        <v>No target set</v>
      </c>
      <c r="J34" s="30" t="str">
        <f>IF(C34="No", "Not In Scope", IF('2-3. Assessment &amp; Actions'!P95="Select…. ","Not Answered",IF('2-3. Assessment &amp; Actions'!P95=1,'2-3. Assessment &amp; Actions'!L95,(IF('2-3. Assessment &amp; Actions'!P95=2,'2-3. Assessment &amp; Actions'!L96,'2-3. Assessment &amp; Actions'!L97)))))</f>
        <v>Not Answered</v>
      </c>
      <c r="K34" s="26"/>
    </row>
    <row r="35" spans="1:11" ht="22" x14ac:dyDescent="0.3">
      <c r="A35" s="26"/>
      <c r="B35" s="63" t="str">
        <f>_xlfn.XLOOKUP(E35,'2-3. Assessment &amp; Actions'!D:D,'2-3. Assessment &amp; Actions'!B:B)</f>
        <v>L1: Sustainability embedded in the design phase</v>
      </c>
      <c r="C35" s="44" t="str">
        <f>_xlfn.XLOOKUP(B35, '1. Scope &amp; Goals'!B:B,'1. Scope &amp; Goals'!C:C)</f>
        <v>Yes</v>
      </c>
      <c r="D35" s="44" t="str">
        <f>_xlfn.LET(_xlpm.val,_xlfn.XLOOKUP(B35,'1. Scope &amp; Goals'!B:B,'1. Scope &amp; Goals'!D:D), IF(_xlpm.val="Select…. ","N/A",_xlpm.val))</f>
        <v>N/A</v>
      </c>
      <c r="E35" s="44" t="str">
        <v>L1.1</v>
      </c>
      <c r="F35" s="57" t="str">
        <f>IF(C35="No", "Not In Scope", IF('2-3. Assessment &amp; Actions'!P99="Select…. ","Not Answered",IF('2-3. Assessment &amp; Actions'!P99&gt;=1,"Passed","Failed")))</f>
        <v>Not Answered</v>
      </c>
      <c r="G35" s="57" t="str">
        <f>IF(C35="No", "Not In Scope", IF('2-3. Assessment &amp; Actions'!P99="Select…. ","Not Answered",IF('2-3. Assessment &amp; Actions'!P99&gt;=2,"Passed","Failed")))</f>
        <v>Not Answered</v>
      </c>
      <c r="H35" s="57" t="str">
        <f>IF(C35="No", "Not In Scope", IF('2-3. Assessment &amp; Actions'!P99="Select…. ","Not Answered",IF('2-3. Assessment &amp; Actions'!P99&gt;=3,"Passed","Failed")))</f>
        <v>Not Answered</v>
      </c>
      <c r="I35" s="30" t="str">
        <f>IF(D35="N/A", "No target set", IF('2-3. Assessment &amp; Actions'!P99="Select…. ", "No results given", IF('2-3. Assessment &amp; Actions'!P99&gt;=D35, "Targets met","Targets not met")))</f>
        <v>No target set</v>
      </c>
      <c r="J35" s="30" t="str">
        <f>IF(C35="No", "Not In Scope", IF('2-3. Assessment &amp; Actions'!P99="Select…. ","Not Answered",IF('2-3. Assessment &amp; Actions'!P99=1,'2-3. Assessment &amp; Actions'!L99,(IF('2-3. Assessment &amp; Actions'!P99=2,'2-3. Assessment &amp; Actions'!L100,'2-3. Assessment &amp; Actions'!L101)))))</f>
        <v>Not Answered</v>
      </c>
      <c r="K35" s="26"/>
    </row>
    <row r="36" spans="1:11" ht="22" x14ac:dyDescent="0.3">
      <c r="A36" s="26"/>
      <c r="B36" s="63" t="str">
        <f>_xlfn.XLOOKUP(E36,'2-3. Assessment &amp; Actions'!D:D,'2-3. Assessment &amp; Actions'!B:B)</f>
        <v>L2: Consideration of sustainability during implementation</v>
      </c>
      <c r="C36" s="44" t="str">
        <f>_xlfn.XLOOKUP(B36, '1. Scope &amp; Goals'!B:B,'1. Scope &amp; Goals'!C:C)</f>
        <v>Yes</v>
      </c>
      <c r="D36" s="44" t="str">
        <f>_xlfn.LET(_xlpm.val,_xlfn.XLOOKUP(B36,'1. Scope &amp; Goals'!B:B,'1. Scope &amp; Goals'!D:D), IF(_xlpm.val="Select…. ","N/A",_xlpm.val))</f>
        <v>N/A</v>
      </c>
      <c r="E36" s="44" t="str">
        <v>L2.1</v>
      </c>
      <c r="F36" s="57" t="str">
        <f>IF(C36="No", "Not In Scope", IF('2-3. Assessment &amp; Actions'!P102="Select…. ","Not Answered",IF('2-3. Assessment &amp; Actions'!P102&gt;=1,"Passed","Failed")))</f>
        <v>Not Answered</v>
      </c>
      <c r="G36" s="57" t="str">
        <f>IF(C36="No", "Not In Scope", IF('2-3. Assessment &amp; Actions'!P102="Select…. ","Not Answered",IF('2-3. Assessment &amp; Actions'!P102&gt;=2,"Passed","Failed")))</f>
        <v>Not Answered</v>
      </c>
      <c r="H36" s="57" t="str">
        <f>IF(C36="No", "Not In Scope", IF('2-3. Assessment &amp; Actions'!P102="Select…. ","Not Answered",IF('2-3. Assessment &amp; Actions'!P102&gt;=3,"Passed","Failed")))</f>
        <v>Not Answered</v>
      </c>
      <c r="I36" s="30" t="str">
        <f>IF(D36="N/A", "No target set", IF('2-3. Assessment &amp; Actions'!P102="Select…. ", "No results given", IF('2-3. Assessment &amp; Actions'!P102&gt;=D36, "Targets met","Targets not met")))</f>
        <v>No target set</v>
      </c>
      <c r="J36" s="30" t="str">
        <f>IF(C36="No", "Not In Scope", IF('2-3. Assessment &amp; Actions'!P102="Select…. ","Not Answered",IF('2-3. Assessment &amp; Actions'!P102=1,'2-3. Assessment &amp; Actions'!L102,(IF('2-3. Assessment &amp; Actions'!P102=2,'2-3. Assessment &amp; Actions'!L103,'2-3. Assessment &amp; Actions'!L104)))))</f>
        <v>Not Answered</v>
      </c>
      <c r="K36" s="26"/>
    </row>
    <row r="37" spans="1:11" ht="22" x14ac:dyDescent="0.3">
      <c r="A37" s="26"/>
      <c r="B37" s="63" t="str">
        <f>_xlfn.XLOOKUP(E37,'2-3. Assessment &amp; Actions'!D:D,'2-3. Assessment &amp; Actions'!B:B)</f>
        <v>L3: Operational sustainability practices</v>
      </c>
      <c r="C37" s="44" t="str">
        <f>_xlfn.XLOOKUP(B37, '1. Scope &amp; Goals'!B:B,'1. Scope &amp; Goals'!C:C)</f>
        <v>Yes</v>
      </c>
      <c r="D37" s="44" t="str">
        <f>_xlfn.LET(_xlpm.val,_xlfn.XLOOKUP(B37,'1. Scope &amp; Goals'!B:B,'1. Scope &amp; Goals'!D:D), IF(_xlpm.val="Select…. ","N/A",_xlpm.val))</f>
        <v>N/A</v>
      </c>
      <c r="E37" s="44" t="str">
        <v>L3.1</v>
      </c>
      <c r="F37" s="57" t="str">
        <f>IF(C37="No", "Not In Scope", IF('2-3. Assessment &amp; Actions'!P105="Select…. ","Not Answered",IF('2-3. Assessment &amp; Actions'!P105&gt;=1,"Passed","Failed")))</f>
        <v>Not Answered</v>
      </c>
      <c r="G37" s="57" t="str">
        <f>IF(C37="No", "Not In Scope", IF('2-3. Assessment &amp; Actions'!P105="Select…. ","Not Answered",IF('2-3. Assessment &amp; Actions'!P105&gt;=2,"Passed","Failed")))</f>
        <v>Not Answered</v>
      </c>
      <c r="H37" s="57" t="str">
        <f>IF(C37="No", "Not In Scope", IF('2-3. Assessment &amp; Actions'!P105="Select…. ","Not Answered",IF('2-3. Assessment &amp; Actions'!P105&gt;=3,"Passed","Failed")))</f>
        <v>Not Answered</v>
      </c>
      <c r="I37" s="30" t="str">
        <f>IF(D37="N/A", "No target set", IF('2-3. Assessment &amp; Actions'!P105="Select…. ", "No results given", IF('2-3. Assessment &amp; Actions'!P105&gt;=D37, "Targets met","Targets not met")))</f>
        <v>No target set</v>
      </c>
      <c r="J37" s="30" t="str">
        <f>IF(C37="No", "Not In Scope", IF('2-3. Assessment &amp; Actions'!P105="Select…. ","Not Answered",IF('2-3. Assessment &amp; Actions'!P105=1,'2-3. Assessment &amp; Actions'!L105,(IF('2-3. Assessment &amp; Actions'!P105=2,'2-3. Assessment &amp; Actions'!L106,'2-3. Assessment &amp; Actions'!L107)))))</f>
        <v>Not Answered</v>
      </c>
      <c r="K37" s="26"/>
    </row>
    <row r="38" spans="1:11" ht="22" x14ac:dyDescent="0.3">
      <c r="A38" s="26"/>
      <c r="B38" s="63" t="str">
        <f>_xlfn.XLOOKUP(E38,'2-3. Assessment &amp; Actions'!D:D,'2-3. Assessment &amp; Actions'!B:B)</f>
        <v>L4: Decommissioning/termination phase planning</v>
      </c>
      <c r="C38" s="44" t="str">
        <f>_xlfn.XLOOKUP(B38, '1. Scope &amp; Goals'!B:B,'1. Scope &amp; Goals'!C:C)</f>
        <v>Yes</v>
      </c>
      <c r="D38" s="44" t="str">
        <f>_xlfn.LET(_xlpm.val,_xlfn.XLOOKUP(B38,'1. Scope &amp; Goals'!B:B,'1. Scope &amp; Goals'!D:D), IF(_xlpm.val="Select…. ","N/A",_xlpm.val))</f>
        <v>N/A</v>
      </c>
      <c r="E38" s="44" t="str">
        <v>L4.1</v>
      </c>
      <c r="F38" s="57" t="str">
        <f>IF(C38="No", "Not In Scope", IF('2-3. Assessment &amp; Actions'!P108="Select…. ","Not Answered",IF('2-3. Assessment &amp; Actions'!P108&gt;=1,"Passed","Failed")))</f>
        <v>Not Answered</v>
      </c>
      <c r="G38" s="57" t="str">
        <f>IF(C38="No", "Not In Scope", IF('2-3. Assessment &amp; Actions'!P108="Select…. ","Not Answered",IF('2-3. Assessment &amp; Actions'!P108&gt;=2,"Passed","Failed")))</f>
        <v>Not Answered</v>
      </c>
      <c r="H38" s="57" t="str">
        <f>IF(C38="No", "Not In Scope", IF('2-3. Assessment &amp; Actions'!P108="Select…. ","Not Answered",IF('2-3. Assessment &amp; Actions'!P108&gt;=3,"Passed","Failed")))</f>
        <v>Not Answered</v>
      </c>
      <c r="I38" s="30" t="str">
        <f>IF(D38="N/A", "No target set", IF('2-3. Assessment &amp; Actions'!P108="Select…. ", "No results given", IF('2-3. Assessment &amp; Actions'!P108&gt;=D38, "Targets met","Targets not met")))</f>
        <v>No target set</v>
      </c>
      <c r="J38" s="30" t="str">
        <f>IF(C38="No", "Not In Scope", IF('2-3. Assessment &amp; Actions'!P108="Select…. ","Not Answered",IF('2-3. Assessment &amp; Actions'!P108=1,'2-3. Assessment &amp; Actions'!L108,(IF('2-3. Assessment &amp; Actions'!P108=2,'2-3. Assessment &amp; Actions'!L109,'2-3. Assessment &amp; Actions'!L110)))))</f>
        <v>Not Answered</v>
      </c>
      <c r="K38" s="26"/>
    </row>
  </sheetData>
  <mergeCells count="5">
    <mergeCell ref="A2:K2"/>
    <mergeCell ref="A1:K1"/>
    <mergeCell ref="B6:B7"/>
    <mergeCell ref="C4:D4"/>
    <mergeCell ref="F4:H4"/>
  </mergeCells>
  <conditionalFormatting sqref="F1:H38 F41:H1048576">
    <cfRule type="containsText" dxfId="55" priority="13" operator="containsText" text="Failed">
      <formula>NOT(ISERROR(SEARCH("Failed",F1)))</formula>
    </cfRule>
    <cfRule type="containsText" dxfId="54" priority="14" operator="containsText" text="Passed">
      <formula>NOT(ISERROR(SEARCH("Passed",F1)))</formula>
    </cfRule>
  </conditionalFormatting>
  <conditionalFormatting sqref="F1:J38 F41:J1048576">
    <cfRule type="containsText" dxfId="53" priority="1" operator="containsText" text="Not Answered">
      <formula>NOT(ISERROR(SEARCH("Not Answered",F1)))</formula>
    </cfRule>
    <cfRule type="containsText" dxfId="52" priority="3" operator="containsText" text="Not In Scope">
      <formula>NOT(ISERROR(SEARCH("Not In Scope",F1)))</formula>
    </cfRule>
  </conditionalFormatting>
  <conditionalFormatting sqref="I1:I38 I41:I1048576">
    <cfRule type="containsText" dxfId="51" priority="8" operator="containsText" text="No results given">
      <formula>NOT(ISERROR(SEARCH("No results given",I1)))</formula>
    </cfRule>
    <cfRule type="containsText" dxfId="50" priority="9" operator="containsText" text="No target set">
      <formula>NOT(ISERROR(SEARCH("No target set",I1)))</formula>
    </cfRule>
    <cfRule type="containsText" dxfId="49" priority="10" operator="containsText" text="Targets met">
      <formula>NOT(ISERROR(SEARCH("Targets met",I1)))</formula>
    </cfRule>
    <cfRule type="containsText" dxfId="48" priority="11" operator="containsText" text="Targets not met">
      <formula>NOT(ISERROR(SEARCH("Targets not met",I1)))</formula>
    </cfRule>
  </conditionalFormatting>
  <conditionalFormatting sqref="J1:J38 J41:J1048576">
    <cfRule type="containsText" dxfId="47" priority="4" operator="containsText" text="Low">
      <formula>NOT(ISERROR(SEARCH("Low",J1)))</formula>
    </cfRule>
    <cfRule type="containsText" dxfId="46" priority="5" operator="containsText" text="Medium">
      <formula>NOT(ISERROR(SEARCH("Medium",J1)))</formula>
    </cfRule>
    <cfRule type="containsText" dxfId="45" priority="6" operator="containsText" text="High">
      <formula>NOT(ISERROR(SEARCH("High",J1)))</formula>
    </cfRule>
  </conditionalFormatting>
  <pageMargins left="0.7" right="0.7" top="0.75" bottom="0.75" header="0.3" footer="0.3"/>
  <ignoredErrors>
    <ignoredError sqref="C7:D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DBD48-40E1-7345-9892-AC9D5D05F4CA}">
  <dimension ref="A1:P37"/>
  <sheetViews>
    <sheetView zoomScaleNormal="100" workbookViewId="0">
      <selection activeCell="F4" sqref="F4"/>
    </sheetView>
  </sheetViews>
  <sheetFormatPr baseColWidth="10" defaultRowHeight="16" x14ac:dyDescent="0.2"/>
  <cols>
    <col min="1" max="1" width="4.1640625" customWidth="1"/>
    <col min="2" max="2" width="21.83203125" style="105" customWidth="1"/>
    <col min="3" max="3" width="53" style="126" customWidth="1"/>
    <col min="4" max="4" width="10.83203125" style="105" customWidth="1"/>
    <col min="5" max="5" width="18.83203125" style="105" customWidth="1"/>
    <col min="6" max="6" width="29.83203125" style="105" customWidth="1"/>
    <col min="7" max="7" width="14.83203125" style="105" customWidth="1"/>
    <col min="8" max="8" width="63.6640625" style="97" customWidth="1"/>
    <col min="9" max="9" width="26.83203125" style="105" customWidth="1"/>
    <col min="10" max="10" width="26.83203125" style="114" customWidth="1"/>
    <col min="11" max="11" width="26.83203125" style="105" customWidth="1"/>
    <col min="12" max="14" width="26.83203125" style="114" customWidth="1"/>
    <col min="15" max="15" width="26.83203125" style="124" customWidth="1"/>
  </cols>
  <sheetData>
    <row r="1" spans="1:16" ht="41" customHeight="1" x14ac:dyDescent="0.3">
      <c r="A1" s="161" t="s">
        <v>1</v>
      </c>
      <c r="B1" s="161"/>
      <c r="C1" s="161"/>
      <c r="D1" s="161"/>
      <c r="E1" s="161"/>
      <c r="F1" s="161"/>
      <c r="G1" s="161"/>
      <c r="H1" s="161"/>
      <c r="I1" s="161"/>
      <c r="J1" s="161"/>
      <c r="K1" s="161"/>
      <c r="L1" s="161"/>
      <c r="M1" s="161"/>
      <c r="N1" s="161"/>
      <c r="O1" s="161"/>
      <c r="P1" s="161"/>
    </row>
    <row r="2" spans="1:16" ht="41" customHeight="1" x14ac:dyDescent="0.2">
      <c r="A2" s="162" t="s">
        <v>320</v>
      </c>
      <c r="B2" s="162"/>
      <c r="C2" s="162"/>
      <c r="D2" s="162"/>
      <c r="E2" s="162"/>
      <c r="F2" s="162"/>
      <c r="G2" s="162"/>
      <c r="H2" s="162"/>
      <c r="I2" s="162"/>
      <c r="J2" s="162"/>
      <c r="K2" s="162"/>
      <c r="L2" s="162"/>
      <c r="M2" s="162"/>
      <c r="N2" s="162"/>
      <c r="O2" s="162"/>
      <c r="P2" s="162"/>
    </row>
    <row r="3" spans="1:16" ht="22" x14ac:dyDescent="0.3">
      <c r="A3" s="26"/>
      <c r="B3" s="98"/>
      <c r="C3" s="125"/>
      <c r="D3" s="98"/>
      <c r="E3" s="98"/>
      <c r="F3" s="98"/>
      <c r="G3" s="98"/>
      <c r="H3" s="25"/>
      <c r="I3" s="98"/>
      <c r="J3" s="111"/>
      <c r="K3" s="98"/>
      <c r="L3" s="111"/>
      <c r="M3" s="111"/>
      <c r="N3" s="111"/>
      <c r="O3" s="122"/>
      <c r="P3" s="26"/>
    </row>
    <row r="4" spans="1:16" ht="23" customHeight="1" x14ac:dyDescent="0.3">
      <c r="A4" s="26"/>
      <c r="B4" s="25" t="s">
        <v>325</v>
      </c>
      <c r="C4" s="25" t="s">
        <v>319</v>
      </c>
      <c r="D4" s="25" t="s">
        <v>31</v>
      </c>
      <c r="E4" s="106" t="s">
        <v>42</v>
      </c>
      <c r="F4" s="106" t="s">
        <v>43</v>
      </c>
      <c r="G4" s="107" t="s">
        <v>30</v>
      </c>
      <c r="H4" s="106" t="s">
        <v>318</v>
      </c>
      <c r="I4" s="110" t="s">
        <v>49</v>
      </c>
      <c r="J4" s="112" t="s">
        <v>323</v>
      </c>
      <c r="K4" s="98" t="s">
        <v>324</v>
      </c>
      <c r="L4" s="127" t="s">
        <v>437</v>
      </c>
      <c r="M4" s="127" t="s">
        <v>438</v>
      </c>
      <c r="N4" s="127" t="s">
        <v>439</v>
      </c>
      <c r="O4" s="128" t="s">
        <v>440</v>
      </c>
      <c r="P4" s="26"/>
    </row>
    <row r="5" spans="1:16" ht="51" x14ac:dyDescent="0.3">
      <c r="A5" s="26"/>
      <c r="B5" s="115" t="str" cm="1">
        <f t="array" ref="B5:B37">_xlfn.UNIQUE(_xlfn._xlws.FILTER('2-3. Assessment &amp; Actions'!D6:D144, '2-3. Assessment &amp; Actions'!D6:D144&lt;&gt;""))</f>
        <v>G1.1</v>
      </c>
      <c r="C5" s="90" t="str">
        <f>_xlfn.XLOOKUP(B5,'2-3. Assessment &amp; Actions'!D:D,'2-3. Assessment &amp; Actions'!E:E)</f>
        <v>To what extent is the RI aligned with relevant EU environmental regulations such as CSRD, ESRS, EED, ESPR, WEEE, LCA, ISO14040, ISO14044?</v>
      </c>
      <c r="D5" s="83" t="str">
        <f>_xlfn.XLOOKUP(B5,'4. Priority&amp;Capability Results'!E:E,'4. Priority&amp;Capability Results'!C:C)</f>
        <v>Yes</v>
      </c>
      <c r="E5" s="83" t="str">
        <f>_xlfn.XLOOKUP(B5,'2-3. Assessment &amp; Actions'!D:D,'2-3. Assessment &amp; Actions'!F:F)</f>
        <v>Cross-cutting</v>
      </c>
      <c r="F5" s="83" t="str">
        <f>_xlfn.XLOOKUP(B5,'2-3. Assessment &amp; Actions'!D:D,'2-3. Assessment &amp; Actions'!G:G)</f>
        <v>Non-environmental</v>
      </c>
      <c r="G5" s="108" t="str">
        <f>_xlfn.XLOOKUP(B5,'4. Priority&amp;Capability Results'!E:E,'4. Priority&amp;Capability Results'!I:I)</f>
        <v>No target set</v>
      </c>
      <c r="H5" s="109" t="str">
        <f>IF('2-3. Assessment &amp; Actions'!P6="Select.... ","Not Answered",IF('2-3. Assessment &amp; Actions'!P6=1,'2-3. Assessment &amp; Actions'!O6,IF('2-3. Assessment &amp; Actions'!P6=2,'2-3. Assessment &amp; Actions'!O7,'2-3. Assessment &amp; Actions'!O8)))</f>
        <v>Not Answered</v>
      </c>
      <c r="I5" s="108" t="str">
        <f>_xlfn.XLOOKUP(B5,'4. Priority&amp;Capability Results'!E:E,'4. Priority&amp;Capability Results'!J:J)</f>
        <v>Not Answered</v>
      </c>
      <c r="J5" s="113" t="s">
        <v>44</v>
      </c>
      <c r="K5" s="108" t="str">
        <f>IF(D5="No", "Not in Scope",
IF(I5="Not Answered", "Not Answered",
IF(J5="Select…. ", "Select the Effort Required",
IF(I5="High",
    IF(J5="Low", "Immediate",
    IF(J5="Medium", "Urgent", "Planned")),
IF(I5="Medium",
    IF(J5="Low", "Urgent",
    IF(J5="Medium", "Planned", "Low Priority")),
IF(I5="Low",
    IF(J5="Low", "Planned",
    IF(J5="Medium", "Low Priority", "No Action Needed")),
""))))))</f>
        <v>Not Answered</v>
      </c>
      <c r="L5" s="113"/>
      <c r="M5" s="113"/>
      <c r="N5" s="113"/>
      <c r="O5" s="123"/>
      <c r="P5" s="26"/>
    </row>
    <row r="6" spans="1:16" ht="34" x14ac:dyDescent="0.3">
      <c r="A6" s="26"/>
      <c r="B6" s="115" t="str">
        <v>G1.2</v>
      </c>
      <c r="C6" s="90" t="str">
        <f>_xlfn.XLOOKUP(B6,'2-3. Assessment &amp; Actions'!D:D,'2-3. Assessment &amp; Actions'!E:E)</f>
        <v>Has the RI conducted a review or gap analysis to identify which regulations apply and how they are addressed?</v>
      </c>
      <c r="D6" s="83" t="str">
        <f>_xlfn.XLOOKUP(B6,'4. Priority&amp;Capability Results'!E:E,'4. Priority&amp;Capability Results'!C:C)</f>
        <v>Yes</v>
      </c>
      <c r="E6" s="83" t="str">
        <f>_xlfn.XLOOKUP(B6,'2-3. Assessment &amp; Actions'!D:D,'2-3. Assessment &amp; Actions'!F:F)</f>
        <v>Cross-cutting</v>
      </c>
      <c r="F6" s="83" t="str">
        <f>_xlfn.XLOOKUP(B6,'2-3. Assessment &amp; Actions'!D:D,'2-3. Assessment &amp; Actions'!G:G)</f>
        <v>Non-environmental</v>
      </c>
      <c r="G6" s="108" t="str">
        <f>_xlfn.XLOOKUP(B6,'4. Priority&amp;Capability Results'!E:E,'4. Priority&amp;Capability Results'!I:I)</f>
        <v>No target set</v>
      </c>
      <c r="H6" s="109" t="str">
        <f>IF('2-3. Assessment &amp; Actions'!P9="Select.... ","Not Answered",IF('2-3. Assessment &amp; Actions'!P9=1,'2-3. Assessment &amp; Actions'!O9,IF('2-3. Assessment &amp; Actions'!P9=2,'2-3. Assessment &amp; Actions'!O10,'2-3. Assessment &amp; Actions'!O11)))</f>
        <v>Not Answered</v>
      </c>
      <c r="I6" s="108" t="str">
        <f>_xlfn.XLOOKUP(B6,'4. Priority&amp;Capability Results'!E:E,'4. Priority&amp;Capability Results'!J:J)</f>
        <v>Not Answered</v>
      </c>
      <c r="J6" s="113" t="s">
        <v>44</v>
      </c>
      <c r="K6" s="108" t="str">
        <f t="shared" ref="K6:K36" si="0">IF(D6="No", "Not in Scope",
IF(I6="Not Answered", "Not Answered",
IF(J6="Select…. ", "Select the Effort Required",
IF(I6="High",
    IF(J6="Low", "Immediate",
    IF(J6="Medium", "Urgent", "Planned")),
IF(I6="Medium",
    IF(J6="Low", "Urgent",
    IF(J6="Medium", "Planned", "Low Priority")),
IF(I6="Low",
    IF(J6="Low", "Planned",
    IF(J6="Medium", "Low Priority", "No Action Needed")),
""))))))</f>
        <v>Not Answered</v>
      </c>
      <c r="L6" s="113"/>
      <c r="M6" s="113"/>
      <c r="N6" s="113"/>
      <c r="O6" s="123"/>
      <c r="P6" s="26"/>
    </row>
    <row r="7" spans="1:16" ht="34" x14ac:dyDescent="0.3">
      <c r="A7" s="26"/>
      <c r="B7" s="115" t="str">
        <v>G2.1</v>
      </c>
      <c r="C7" s="90" t="str">
        <f>_xlfn.XLOOKUP(B7,'2-3. Assessment &amp; Actions'!D:D,'2-3. Assessment &amp; Actions'!E:E)</f>
        <v>Is there a documented environmental sustainability strategy in place, endorsed by leadership and periodically updated?</v>
      </c>
      <c r="D7" s="83" t="str">
        <f>_xlfn.XLOOKUP(B7,'4. Priority&amp;Capability Results'!E:E,'4. Priority&amp;Capability Results'!C:C)</f>
        <v>Yes</v>
      </c>
      <c r="E7" s="83" t="str">
        <f>_xlfn.XLOOKUP(B7,'2-3. Assessment &amp; Actions'!D:D,'2-3. Assessment &amp; Actions'!F:F)</f>
        <v>Cross-cutting</v>
      </c>
      <c r="F7" s="83" t="str">
        <f>_xlfn.XLOOKUP(B7,'2-3. Assessment &amp; Actions'!D:D,'2-3. Assessment &amp; Actions'!G:G)</f>
        <v>Non-environmental</v>
      </c>
      <c r="G7" s="108" t="str">
        <f>_xlfn.XLOOKUP(B7,'4. Priority&amp;Capability Results'!E:E,'4. Priority&amp;Capability Results'!I:I)</f>
        <v>No target set</v>
      </c>
      <c r="H7" s="109" t="str">
        <f>IF('2-3. Assessment &amp; Actions'!P12="Select.... ","Not Answered",IF('2-3. Assessment &amp; Actions'!P12=1,'2-3. Assessment &amp; Actions'!O12,IF('2-3. Assessment &amp; Actions'!P12=2,'2-3. Assessment &amp; Actions'!O13,'2-3. Assessment &amp; Actions'!O14)))</f>
        <v>Not Answered</v>
      </c>
      <c r="I7" s="108" t="str">
        <f>_xlfn.XLOOKUP(B7,'4. Priority&amp;Capability Results'!E:E,'4. Priority&amp;Capability Results'!J:J)</f>
        <v>Not Answered</v>
      </c>
      <c r="J7" s="113" t="s">
        <v>44</v>
      </c>
      <c r="K7" s="108" t="str">
        <f t="shared" si="0"/>
        <v>Not Answered</v>
      </c>
      <c r="L7" s="113"/>
      <c r="M7" s="113"/>
      <c r="N7" s="113"/>
      <c r="O7" s="123"/>
      <c r="P7" s="26"/>
    </row>
    <row r="8" spans="1:16" ht="51" x14ac:dyDescent="0.3">
      <c r="A8" s="26"/>
      <c r="B8" s="115" t="str">
        <v>G3.1</v>
      </c>
      <c r="C8" s="90" t="str">
        <f>_xlfn.XLOOKUP(B8,'2-3. Assessment &amp; Actions'!D:D,'2-3. Assessment &amp; Actions'!E:E)</f>
        <v>Are roles and responsibilities for environmental sustainability clearly assigned across relevant functions within the RI?</v>
      </c>
      <c r="D8" s="83" t="str">
        <f>_xlfn.XLOOKUP(B8,'4. Priority&amp;Capability Results'!E:E,'4. Priority&amp;Capability Results'!C:C)</f>
        <v>Yes</v>
      </c>
      <c r="E8" s="83" t="str">
        <f>_xlfn.XLOOKUP(B8,'2-3. Assessment &amp; Actions'!D:D,'2-3. Assessment &amp; Actions'!F:F)</f>
        <v>Cross-cutting</v>
      </c>
      <c r="F8" s="83" t="str">
        <f>_xlfn.XLOOKUP(B8,'2-3. Assessment &amp; Actions'!D:D,'2-3. Assessment &amp; Actions'!G:G)</f>
        <v>Non-environmental</v>
      </c>
      <c r="G8" s="108" t="str">
        <f>_xlfn.XLOOKUP(B8,'4. Priority&amp;Capability Results'!E:E,'4. Priority&amp;Capability Results'!I:I)</f>
        <v>No target set</v>
      </c>
      <c r="H8" s="109" t="str">
        <f>IF('2-3. Assessment &amp; Actions'!P15="Select.... ","Not Answered",IF('2-3. Assessment &amp; Actions'!P15=1,'2-3. Assessment &amp; Actions'!O15,IF('2-3. Assessment &amp; Actions'!P15=2,'2-3. Assessment &amp; Actions'!O16,'2-3. Assessment &amp; Actions'!O17)))</f>
        <v>Not Answered</v>
      </c>
      <c r="I8" s="108" t="str">
        <f>_xlfn.XLOOKUP(B8,'4. Priority&amp;Capability Results'!E:E,'4. Priority&amp;Capability Results'!J:J)</f>
        <v>Not Answered</v>
      </c>
      <c r="J8" s="113" t="s">
        <v>44</v>
      </c>
      <c r="K8" s="108" t="str">
        <f t="shared" si="0"/>
        <v>Not Answered</v>
      </c>
      <c r="L8" s="113"/>
      <c r="M8" s="113"/>
      <c r="N8" s="113"/>
      <c r="O8" s="123"/>
      <c r="P8" s="26"/>
    </row>
    <row r="9" spans="1:16" ht="51" x14ac:dyDescent="0.3">
      <c r="A9" s="26"/>
      <c r="B9" s="115" t="str">
        <v>G4.1</v>
      </c>
      <c r="C9" s="90" t="str">
        <f>_xlfn.XLOOKUP(B9,'2-3. Assessment &amp; Actions'!D:D,'2-3. Assessment &amp; Actions'!E:E)</f>
        <v>To what extent is environmental sustainability integrated into the RI’s internal policies, management systems, or quality frameworks?</v>
      </c>
      <c r="D9" s="83" t="str">
        <f>_xlfn.XLOOKUP(B9,'4. Priority&amp;Capability Results'!E:E,'4. Priority&amp;Capability Results'!C:C)</f>
        <v>Yes</v>
      </c>
      <c r="E9" s="83" t="str">
        <f>_xlfn.XLOOKUP(B9,'2-3. Assessment &amp; Actions'!D:D,'2-3. Assessment &amp; Actions'!F:F)</f>
        <v>Cross-cutting</v>
      </c>
      <c r="F9" s="83" t="str">
        <f>_xlfn.XLOOKUP(B9,'2-3. Assessment &amp; Actions'!D:D,'2-3. Assessment &amp; Actions'!G:G)</f>
        <v>Non-environmental</v>
      </c>
      <c r="G9" s="108" t="str">
        <f>_xlfn.XLOOKUP(B9,'4. Priority&amp;Capability Results'!E:E,'4. Priority&amp;Capability Results'!I:I)</f>
        <v>No target set</v>
      </c>
      <c r="H9" s="109" t="str">
        <f>IF('2-3. Assessment &amp; Actions'!P18="Select.... ","Not Answered",IF('2-3. Assessment &amp; Actions'!P18=1,'2-3. Assessment &amp; Actions'!O18,IF('2-3. Assessment &amp; Actions'!P18=2,'2-3. Assessment &amp; Actions'!O19,'2-3. Assessment &amp; Actions'!O20)))</f>
        <v>Not Answered</v>
      </c>
      <c r="I9" s="108" t="str">
        <f>_xlfn.XLOOKUP(B9,'4. Priority&amp;Capability Results'!E:E,'4. Priority&amp;Capability Results'!J:J)</f>
        <v>Not Answered</v>
      </c>
      <c r="J9" s="113" t="s">
        <v>44</v>
      </c>
      <c r="K9" s="108" t="str">
        <f t="shared" si="0"/>
        <v>Not Answered</v>
      </c>
      <c r="L9" s="113"/>
      <c r="M9" s="113"/>
      <c r="N9" s="113"/>
      <c r="O9" s="123"/>
      <c r="P9" s="26"/>
    </row>
    <row r="10" spans="1:16" ht="34" x14ac:dyDescent="0.3">
      <c r="A10" s="26"/>
      <c r="B10" s="115" t="str">
        <v>G5.1</v>
      </c>
      <c r="C10" s="90" t="str">
        <f>_xlfn.XLOOKUP(B10,'2-3. Assessment &amp; Actions'!D:D,'2-3. Assessment &amp; Actions'!E:E)</f>
        <v>Does the RI include environmental sustainability criteria in procurement processes and supplier evaluations?</v>
      </c>
      <c r="D10" s="83" t="str">
        <f>_xlfn.XLOOKUP(B10,'4. Priority&amp;Capability Results'!E:E,'4. Priority&amp;Capability Results'!C:C)</f>
        <v>Yes</v>
      </c>
      <c r="E10" s="83" t="str">
        <f>_xlfn.XLOOKUP(B10,'2-3. Assessment &amp; Actions'!D:D,'2-3. Assessment &amp; Actions'!F:F)</f>
        <v>Cross-cutting</v>
      </c>
      <c r="F10" s="83" t="str">
        <f>_xlfn.XLOOKUP(B10,'2-3. Assessment &amp; Actions'!D:D,'2-3. Assessment &amp; Actions'!G:G)</f>
        <v>Non-environmental</v>
      </c>
      <c r="G10" s="108" t="str">
        <f>_xlfn.XLOOKUP(B10,'4. Priority&amp;Capability Results'!E:E,'4. Priority&amp;Capability Results'!I:I)</f>
        <v>No target set</v>
      </c>
      <c r="H10" s="109" t="str">
        <f>IF('2-3. Assessment &amp; Actions'!P21="Select.... ","Not Answered",IF('2-3. Assessment &amp; Actions'!P21=1,'2-3. Assessment &amp; Actions'!O21,IF('2-3. Assessment &amp; Actions'!P21=2,'2-3. Assessment &amp; Actions'!O22,'2-3. Assessment &amp; Actions'!O23)))</f>
        <v>Not Answered</v>
      </c>
      <c r="I10" s="108" t="str">
        <f>_xlfn.XLOOKUP(B10,'4. Priority&amp;Capability Results'!E:E,'4. Priority&amp;Capability Results'!J:J)</f>
        <v>Not Answered</v>
      </c>
      <c r="J10" s="113" t="s">
        <v>44</v>
      </c>
      <c r="K10" s="108" t="str">
        <f t="shared" si="0"/>
        <v>Not Answered</v>
      </c>
      <c r="L10" s="113"/>
      <c r="M10" s="113"/>
      <c r="N10" s="113"/>
      <c r="O10" s="123"/>
      <c r="P10" s="26"/>
    </row>
    <row r="11" spans="1:16" ht="51" x14ac:dyDescent="0.3">
      <c r="A11" s="26"/>
      <c r="B11" s="116" t="str">
        <v>S1.1</v>
      </c>
      <c r="C11" s="91" t="str">
        <f>_xlfn.XLOOKUP(B11,'2-3. Assessment &amp; Actions'!D:D,'2-3. Assessment &amp; Actions'!E:E)</f>
        <v>To what extent does the RI provide staff training or awareness programmes on environmental sustainability topics relevant to their roles?</v>
      </c>
      <c r="D11" s="99" t="str">
        <f>_xlfn.XLOOKUP(B11,'4. Priority&amp;Capability Results'!E:E,'4. Priority&amp;Capability Results'!C:C)</f>
        <v>Yes</v>
      </c>
      <c r="E11" s="99" t="str">
        <f>_xlfn.XLOOKUP(B11,'2-3. Assessment &amp; Actions'!D:D,'2-3. Assessment &amp; Actions'!F:F)</f>
        <v>Cross-cutting</v>
      </c>
      <c r="F11" s="99" t="str">
        <f>_xlfn.XLOOKUP(B11,'2-3. Assessment &amp; Actions'!D:D,'2-3. Assessment &amp; Actions'!G:G)</f>
        <v>Non-environmental</v>
      </c>
      <c r="G11" s="108" t="str">
        <f>_xlfn.XLOOKUP(B11,'4. Priority&amp;Capability Results'!E:E,'4. Priority&amp;Capability Results'!I:I)</f>
        <v>No target set</v>
      </c>
      <c r="H11" s="109" t="str">
        <f>IF('2-3. Assessment &amp; Actions'!P25="Select.... ","Not Answered",IF('2-3. Assessment &amp; Actions'!P25=1,'2-3. Assessment &amp; Actions'!O25,IF('2-3. Assessment &amp; Actions'!P25=2,'2-3. Assessment &amp; Actions'!O26,'2-3. Assessment &amp; Actions'!O27)))</f>
        <v>Not Answered</v>
      </c>
      <c r="I11" s="108" t="str">
        <f>_xlfn.XLOOKUP(B11,'4. Priority&amp;Capability Results'!E:E,'4. Priority&amp;Capability Results'!J:J)</f>
        <v>Not Answered</v>
      </c>
      <c r="J11" s="113" t="s">
        <v>44</v>
      </c>
      <c r="K11" s="108" t="str">
        <f t="shared" si="0"/>
        <v>Not Answered</v>
      </c>
      <c r="L11" s="113"/>
      <c r="M11" s="113"/>
      <c r="N11" s="113"/>
      <c r="O11" s="123"/>
      <c r="P11" s="26"/>
    </row>
    <row r="12" spans="1:16" ht="51" x14ac:dyDescent="0.3">
      <c r="A12" s="26"/>
      <c r="B12" s="116" t="str">
        <v>S2.1</v>
      </c>
      <c r="C12" s="91" t="str">
        <f>_xlfn.XLOOKUP(B12,'2-3. Assessment &amp; Actions'!D:D,'2-3. Assessment &amp; Actions'!E:E)</f>
        <v>Are relevant stakeholders (e.g. users, suppliers, partners) engaged in environmental planning or sustainability goal-setting processes?</v>
      </c>
      <c r="D12" s="99" t="str">
        <f>_xlfn.XLOOKUP(B12,'4. Priority&amp;Capability Results'!E:E,'4. Priority&amp;Capability Results'!C:C)</f>
        <v>Yes</v>
      </c>
      <c r="E12" s="99" t="str">
        <f>_xlfn.XLOOKUP(B12,'2-3. Assessment &amp; Actions'!D:D,'2-3. Assessment &amp; Actions'!F:F)</f>
        <v>Cross-cutting</v>
      </c>
      <c r="F12" s="99" t="str">
        <f>_xlfn.XLOOKUP(B12,'2-3. Assessment &amp; Actions'!D:D,'2-3. Assessment &amp; Actions'!G:G)</f>
        <v>Non-environmental</v>
      </c>
      <c r="G12" s="108" t="str">
        <f>_xlfn.XLOOKUP(B12,'4. Priority&amp;Capability Results'!E:E,'4. Priority&amp;Capability Results'!I:I)</f>
        <v>No target set</v>
      </c>
      <c r="H12" s="109" t="str">
        <f>IF('2-3. Assessment &amp; Actions'!P28="Select.... ","Not Answered",IF('2-3. Assessment &amp; Actions'!P28=1,'2-3. Assessment &amp; Actions'!O28,IF('2-3. Assessment &amp; Actions'!P28=2,'2-3. Assessment &amp; Actions'!O29,'2-3. Assessment &amp; Actions'!O30)))</f>
        <v>Not Answered</v>
      </c>
      <c r="I12" s="108" t="str">
        <f>_xlfn.XLOOKUP(B12,'4. Priority&amp;Capability Results'!E:E,'4. Priority&amp;Capability Results'!J:J)</f>
        <v>Not Answered</v>
      </c>
      <c r="J12" s="113" t="s">
        <v>44</v>
      </c>
      <c r="K12" s="108" t="str">
        <f t="shared" si="0"/>
        <v>Not Answered</v>
      </c>
      <c r="L12" s="113"/>
      <c r="M12" s="113"/>
      <c r="N12" s="113"/>
      <c r="O12" s="123"/>
      <c r="P12" s="26"/>
    </row>
    <row r="13" spans="1:16" ht="51" x14ac:dyDescent="0.3">
      <c r="A13" s="26"/>
      <c r="B13" s="116" t="str">
        <v>S3.1</v>
      </c>
      <c r="C13" s="91" t="str">
        <f>_xlfn.XLOOKUP(B13,'2-3. Assessment &amp; Actions'!D:D,'2-3. Assessment &amp; Actions'!E:E)</f>
        <v>Does the RI regularly communicate its environmental performance, actions, or goals to internal and external stakeholders?</v>
      </c>
      <c r="D13" s="99" t="str">
        <f>_xlfn.XLOOKUP(B13,'4. Priority&amp;Capability Results'!E:E,'4. Priority&amp;Capability Results'!C:C)</f>
        <v>Yes</v>
      </c>
      <c r="E13" s="99" t="str">
        <f>_xlfn.XLOOKUP(B13,'2-3. Assessment &amp; Actions'!D:D,'2-3. Assessment &amp; Actions'!F:F)</f>
        <v>Cross-cutting</v>
      </c>
      <c r="F13" s="99" t="str">
        <f>_xlfn.XLOOKUP(B13,'2-3. Assessment &amp; Actions'!D:D,'2-3. Assessment &amp; Actions'!G:G)</f>
        <v>Non-environmental</v>
      </c>
      <c r="G13" s="108" t="str">
        <f>_xlfn.XLOOKUP(B13,'4. Priority&amp;Capability Results'!E:E,'4. Priority&amp;Capability Results'!I:I)</f>
        <v>No target set</v>
      </c>
      <c r="H13" s="109" t="str">
        <f>IF('2-3. Assessment &amp; Actions'!P31="Select.... ","Not Answered",IF('2-3. Assessment &amp; Actions'!P31=1,'2-3. Assessment &amp; Actions'!O31,IF('2-3. Assessment &amp; Actions'!P31=2,'2-3. Assessment &amp; Actions'!O32,'2-3. Assessment &amp; Actions'!O33)))</f>
        <v>Not Answered</v>
      </c>
      <c r="I13" s="108" t="str">
        <f>_xlfn.XLOOKUP(B13,'4. Priority&amp;Capability Results'!E:E,'4. Priority&amp;Capability Results'!J:J)</f>
        <v>Not Answered</v>
      </c>
      <c r="J13" s="113" t="s">
        <v>44</v>
      </c>
      <c r="K13" s="108" t="str">
        <f t="shared" si="0"/>
        <v>Not Answered</v>
      </c>
      <c r="L13" s="113"/>
      <c r="M13" s="113"/>
      <c r="N13" s="113"/>
      <c r="O13" s="123"/>
      <c r="P13" s="26"/>
    </row>
    <row r="14" spans="1:16" ht="34" x14ac:dyDescent="0.3">
      <c r="A14" s="26"/>
      <c r="B14" s="117" t="str">
        <v>E1.1</v>
      </c>
      <c r="C14" s="92" t="str">
        <f>_xlfn.XLOOKUP(B14,'2-3. Assessment &amp; Actions'!D:D,'2-3. Assessment &amp; Actions'!E:E)</f>
        <v>What proportion of the RI’s energy consumption is sourced from renewable energy, and how is this verified?</v>
      </c>
      <c r="D14" s="100" t="str">
        <f>_xlfn.XLOOKUP(B14,'4. Priority&amp;Capability Results'!E:E,'4. Priority&amp;Capability Results'!C:C)</f>
        <v>Yes</v>
      </c>
      <c r="E14" s="100" t="str">
        <f>_xlfn.XLOOKUP(B14,'2-3. Assessment &amp; Actions'!D:D,'2-3. Assessment &amp; Actions'!F:F)</f>
        <v>Operation</v>
      </c>
      <c r="F14" s="100" t="str">
        <f>_xlfn.XLOOKUP(B14,'2-3. Assessment &amp; Actions'!D:D,'2-3. Assessment &amp; Actions'!G:G)</f>
        <v>Energy</v>
      </c>
      <c r="G14" s="108" t="str">
        <f>_xlfn.XLOOKUP(B14,'4. Priority&amp;Capability Results'!E:E,'4. Priority&amp;Capability Results'!I:I)</f>
        <v>No target set</v>
      </c>
      <c r="H14" s="109" t="str">
        <f>IF('2-3. Assessment &amp; Actions'!P35="Select.... ","Not Answered",IF('2-3. Assessment &amp; Actions'!P35=1,'2-3. Assessment &amp; Actions'!O35,IF('2-3. Assessment &amp; Actions'!P35=2,'2-3. Assessment &amp; Actions'!O36,'2-3. Assessment &amp; Actions'!O37)))</f>
        <v>Not Answered</v>
      </c>
      <c r="I14" s="108" t="str">
        <f>_xlfn.XLOOKUP(B14,'4. Priority&amp;Capability Results'!E:E,'4. Priority&amp;Capability Results'!J:J)</f>
        <v>Not Answered</v>
      </c>
      <c r="J14" s="113" t="s">
        <v>44</v>
      </c>
      <c r="K14" s="108" t="str">
        <f t="shared" si="0"/>
        <v>Not Answered</v>
      </c>
      <c r="L14" s="113"/>
      <c r="M14" s="113"/>
      <c r="N14" s="113"/>
      <c r="O14" s="123"/>
      <c r="P14" s="26"/>
    </row>
    <row r="15" spans="1:16" ht="51" x14ac:dyDescent="0.3">
      <c r="A15" s="26"/>
      <c r="B15" s="117" t="str">
        <v>E2.1</v>
      </c>
      <c r="C15" s="92" t="str">
        <f>_xlfn.XLOOKUP(B15,'2-3. Assessment &amp; Actions'!D:D,'2-3. Assessment &amp; Actions'!E:E)</f>
        <v>Are AI or automation systems used to optimise energy consumption across compute, cooling, or other infrastructure components?</v>
      </c>
      <c r="D15" s="100" t="str">
        <f>_xlfn.XLOOKUP(B15,'4. Priority&amp;Capability Results'!E:E,'4. Priority&amp;Capability Results'!C:C)</f>
        <v>Yes</v>
      </c>
      <c r="E15" s="100" t="str">
        <f>_xlfn.XLOOKUP(B15,'2-3. Assessment &amp; Actions'!D:D,'2-3. Assessment &amp; Actions'!F:F)</f>
        <v>Operation</v>
      </c>
      <c r="F15" s="100" t="str">
        <f>_xlfn.XLOOKUP(B15,'2-3. Assessment &amp; Actions'!D:D,'2-3. Assessment &amp; Actions'!G:G)</f>
        <v>Energy</v>
      </c>
      <c r="G15" s="108" t="str">
        <f>_xlfn.XLOOKUP(B15,'4. Priority&amp;Capability Results'!E:E,'4. Priority&amp;Capability Results'!I:I)</f>
        <v>No target set</v>
      </c>
      <c r="H15" s="109" t="str">
        <f>IF('2-3. Assessment &amp; Actions'!P38="Select.... ","Not Answered",IF('2-3. Assessment &amp; Actions'!P38=1,'2-3. Assessment &amp; Actions'!O38,IF('2-3. Assessment &amp; Actions'!P38=2,'2-3. Assessment &amp; Actions'!O39,'2-3. Assessment &amp; Actions'!O40)))</f>
        <v>Not Answered</v>
      </c>
      <c r="I15" s="108" t="str">
        <f>_xlfn.XLOOKUP(B15,'4. Priority&amp;Capability Results'!E:E,'4. Priority&amp;Capability Results'!J:J)</f>
        <v>Not Answered</v>
      </c>
      <c r="J15" s="113" t="s">
        <v>44</v>
      </c>
      <c r="K15" s="108" t="str">
        <f t="shared" si="0"/>
        <v>Not Answered</v>
      </c>
      <c r="L15" s="113"/>
      <c r="M15" s="113"/>
      <c r="N15" s="113"/>
      <c r="O15" s="123"/>
      <c r="P15" s="26"/>
    </row>
    <row r="16" spans="1:16" ht="34" x14ac:dyDescent="0.3">
      <c r="A16" s="26"/>
      <c r="B16" s="117" t="str">
        <v>E3.1</v>
      </c>
      <c r="C16" s="92" t="str">
        <f>_xlfn.XLOOKUP(B16,'2-3. Assessment &amp; Actions'!D:D,'2-3. Assessment &amp; Actions'!E:E)</f>
        <v>Does the RI implement strategies to recover or reuse waste heat generated by infrastructure?</v>
      </c>
      <c r="D16" s="100" t="str">
        <f>_xlfn.XLOOKUP(B16,'4. Priority&amp;Capability Results'!E:E,'4. Priority&amp;Capability Results'!C:C)</f>
        <v>Yes</v>
      </c>
      <c r="E16" s="100" t="str">
        <f>_xlfn.XLOOKUP(B16,'2-3. Assessment &amp; Actions'!D:D,'2-3. Assessment &amp; Actions'!F:F)</f>
        <v>Operation</v>
      </c>
      <c r="F16" s="100" t="str">
        <f>_xlfn.XLOOKUP(B16,'2-3. Assessment &amp; Actions'!D:D,'2-3. Assessment &amp; Actions'!G:G)</f>
        <v>Energy</v>
      </c>
      <c r="G16" s="108" t="str">
        <f>_xlfn.XLOOKUP(B16,'4. Priority&amp;Capability Results'!E:E,'4. Priority&amp;Capability Results'!I:I)</f>
        <v>No target set</v>
      </c>
      <c r="H16" s="109" t="str">
        <f>IF('2-3. Assessment &amp; Actions'!P41="Select.... ","Not Answered",IF('2-3. Assessment &amp; Actions'!P41=1,'2-3. Assessment &amp; Actions'!O41,IF('2-3. Assessment &amp; Actions'!P41=2,'2-3. Assessment &amp; Actions'!O42,'2-3. Assessment &amp; Actions'!O43)))</f>
        <v>Not Answered</v>
      </c>
      <c r="I16" s="108" t="str">
        <f>_xlfn.XLOOKUP(B16,'4. Priority&amp;Capability Results'!E:E,'4. Priority&amp;Capability Results'!J:J)</f>
        <v>Not Answered</v>
      </c>
      <c r="J16" s="113" t="s">
        <v>44</v>
      </c>
      <c r="K16" s="108" t="str">
        <f t="shared" si="0"/>
        <v>Not Answered</v>
      </c>
      <c r="L16" s="113"/>
      <c r="M16" s="113"/>
      <c r="N16" s="113"/>
      <c r="O16" s="123"/>
      <c r="P16" s="26"/>
    </row>
    <row r="17" spans="1:16" ht="34" x14ac:dyDescent="0.3">
      <c r="A17" s="26"/>
      <c r="B17" s="117" t="str">
        <v>E4.1</v>
      </c>
      <c r="C17" s="92" t="str">
        <f>_xlfn.XLOOKUP(B17,'2-3. Assessment &amp; Actions'!D:D,'2-3. Assessment &amp; Actions'!E:E)</f>
        <v>Is the RI’s PUE monitored regularly, and are efforts in place to optimise it over time?</v>
      </c>
      <c r="D17" s="100" t="str">
        <f>_xlfn.XLOOKUP(B17,'4. Priority&amp;Capability Results'!E:E,'4. Priority&amp;Capability Results'!C:C)</f>
        <v>Yes</v>
      </c>
      <c r="E17" s="100" t="str">
        <f>_xlfn.XLOOKUP(B17,'2-3. Assessment &amp; Actions'!D:D,'2-3. Assessment &amp; Actions'!F:F)</f>
        <v>Operation</v>
      </c>
      <c r="F17" s="100" t="str">
        <f>_xlfn.XLOOKUP(B17,'2-3. Assessment &amp; Actions'!D:D,'2-3. Assessment &amp; Actions'!G:G)</f>
        <v>Energy</v>
      </c>
      <c r="G17" s="108" t="str">
        <f>_xlfn.XLOOKUP(B17,'4. Priority&amp;Capability Results'!E:E,'4. Priority&amp;Capability Results'!I:I)</f>
        <v>No target set</v>
      </c>
      <c r="H17" s="109" t="str">
        <f>IF('2-3. Assessment &amp; Actions'!P44="Select.... ","Not Answered",IF('2-3. Assessment &amp; Actions'!P44=1,'2-3. Assessment &amp; Actions'!O44,IF('2-3. Assessment &amp; Actions'!P44=2,'2-3. Assessment &amp; Actions'!O45,'2-3. Assessment &amp; Actions'!O46)))</f>
        <v>Not Answered</v>
      </c>
      <c r="I17" s="108" t="str">
        <f>_xlfn.XLOOKUP(B17,'4. Priority&amp;Capability Results'!E:E,'4. Priority&amp;Capability Results'!J:J)</f>
        <v>Not Answered</v>
      </c>
      <c r="J17" s="113" t="s">
        <v>44</v>
      </c>
      <c r="K17" s="108" t="str">
        <f t="shared" si="0"/>
        <v>Not Answered</v>
      </c>
      <c r="L17" s="113"/>
      <c r="M17" s="113"/>
      <c r="N17" s="113"/>
      <c r="O17" s="123"/>
      <c r="P17" s="26"/>
    </row>
    <row r="18" spans="1:16" ht="34" x14ac:dyDescent="0.3">
      <c r="A18" s="26"/>
      <c r="B18" s="117" t="str">
        <v>E5.1</v>
      </c>
      <c r="C18" s="92" t="str">
        <f>_xlfn.XLOOKUP(B18,'2-3. Assessment &amp; Actions'!D:D,'2-3. Assessment &amp; Actions'!E:E)</f>
        <v>Is CUE calculated and used as a metric for assessing carbon performance of the RI’s operations?</v>
      </c>
      <c r="D18" s="100" t="str">
        <f>_xlfn.XLOOKUP(B18,'4. Priority&amp;Capability Results'!E:E,'4. Priority&amp;Capability Results'!C:C)</f>
        <v>Yes</v>
      </c>
      <c r="E18" s="100" t="str">
        <f>_xlfn.XLOOKUP(B18,'2-3. Assessment &amp; Actions'!D:D,'2-3. Assessment &amp; Actions'!F:F)</f>
        <v>Operation</v>
      </c>
      <c r="F18" s="100" t="str">
        <f>_xlfn.XLOOKUP(B18,'2-3. Assessment &amp; Actions'!D:D,'2-3. Assessment &amp; Actions'!G:G)</f>
        <v>Climate Change</v>
      </c>
      <c r="G18" s="108" t="str">
        <f>_xlfn.XLOOKUP(B18,'4. Priority&amp;Capability Results'!E:E,'4. Priority&amp;Capability Results'!I:I)</f>
        <v>No target set</v>
      </c>
      <c r="H18" s="109" t="str">
        <f>IF('2-3. Assessment &amp; Actions'!P47="Select.... ","Not Answered",IF('2-3. Assessment &amp; Actions'!P47=1,'2-3. Assessment &amp; Actions'!O47,IF('2-3. Assessment &amp; Actions'!P47=2,'2-3. Assessment &amp; Actions'!O48,'2-3. Assessment &amp; Actions'!O49)))</f>
        <v>Not Answered</v>
      </c>
      <c r="I18" s="108" t="str">
        <f>_xlfn.XLOOKUP(B18,'4. Priority&amp;Capability Results'!E:E,'4. Priority&amp;Capability Results'!J:J)</f>
        <v>Not Answered</v>
      </c>
      <c r="J18" s="113" t="s">
        <v>44</v>
      </c>
      <c r="K18" s="108" t="str">
        <f t="shared" si="0"/>
        <v>Not Answered</v>
      </c>
      <c r="L18" s="113"/>
      <c r="M18" s="113"/>
      <c r="N18" s="113"/>
      <c r="O18" s="123"/>
      <c r="P18" s="26"/>
    </row>
    <row r="19" spans="1:16" ht="34" x14ac:dyDescent="0.3">
      <c r="A19" s="26"/>
      <c r="B19" s="117" t="str">
        <v>E6.1</v>
      </c>
      <c r="C19" s="92" t="str">
        <f>_xlfn.XLOOKUP(B19,'2-3. Assessment &amp; Actions'!D:D,'2-3. Assessment &amp; Actions'!E:E)</f>
        <v>Does the RI participate in energy flexibility initiatives, such as demand response or smart grid integration?</v>
      </c>
      <c r="D19" s="100" t="str">
        <f>_xlfn.XLOOKUP(B19,'4. Priority&amp;Capability Results'!E:E,'4. Priority&amp;Capability Results'!C:C)</f>
        <v>Yes</v>
      </c>
      <c r="E19" s="100" t="str">
        <f>_xlfn.XLOOKUP(B19,'2-3. Assessment &amp; Actions'!D:D,'2-3. Assessment &amp; Actions'!F:F)</f>
        <v>Operation</v>
      </c>
      <c r="F19" s="100" t="str">
        <f>_xlfn.XLOOKUP(B19,'2-3. Assessment &amp; Actions'!D:D,'2-3. Assessment &amp; Actions'!G:G)</f>
        <v>Energy</v>
      </c>
      <c r="G19" s="108" t="str">
        <f>_xlfn.XLOOKUP(B19,'4. Priority&amp;Capability Results'!E:E,'4. Priority&amp;Capability Results'!I:I)</f>
        <v>No target set</v>
      </c>
      <c r="H19" s="109" t="str">
        <f>IF('2-3. Assessment &amp; Actions'!P50="Select.... ","Not Answered",IF('2-3. Assessment &amp; Actions'!P50=1,'2-3. Assessment &amp; Actions'!O50,IF('2-3. Assessment &amp; Actions'!P50=2,'2-3. Assessment &amp; Actions'!O51,'2-3. Assessment &amp; Actions'!O52)))</f>
        <v>Not Answered</v>
      </c>
      <c r="I19" s="108" t="str">
        <f>_xlfn.XLOOKUP(B19,'4. Priority&amp;Capability Results'!E:E,'4. Priority&amp;Capability Results'!J:J)</f>
        <v>Not Answered</v>
      </c>
      <c r="J19" s="113" t="s">
        <v>44</v>
      </c>
      <c r="K19" s="108" t="str">
        <f t="shared" si="0"/>
        <v>Not Answered</v>
      </c>
      <c r="L19" s="113"/>
      <c r="M19" s="113"/>
      <c r="N19" s="113"/>
      <c r="O19" s="123"/>
      <c r="P19" s="26"/>
    </row>
    <row r="20" spans="1:16" ht="51" x14ac:dyDescent="0.3">
      <c r="A20" s="26"/>
      <c r="B20" s="118" t="str">
        <v>M1.1</v>
      </c>
      <c r="C20" s="93" t="str">
        <f>_xlfn.XLOOKUP(B20,'2-3. Assessment &amp; Actions'!D:D,'2-3. Assessment &amp; Actions'!E:E)</f>
        <v>Which environmental KPIs (e.g. GHG emissions, energy, water, waste) are currently measured and how frequently are they reported?</v>
      </c>
      <c r="D20" s="101" t="str">
        <f>_xlfn.XLOOKUP(B20,'4. Priority&amp;Capability Results'!E:E,'4. Priority&amp;Capability Results'!C:C)</f>
        <v>Yes</v>
      </c>
      <c r="E20" s="101" t="str">
        <f>_xlfn.XLOOKUP(B20,'2-3. Assessment &amp; Actions'!D:D,'2-3. Assessment &amp; Actions'!F:F)</f>
        <v>Operation</v>
      </c>
      <c r="F20" s="101" t="str">
        <f>_xlfn.XLOOKUP(B20,'2-3. Assessment &amp; Actions'!D:D,'2-3. Assessment &amp; Actions'!G:G)</f>
        <v>Climate Change</v>
      </c>
      <c r="G20" s="108" t="str">
        <f>_xlfn.XLOOKUP(B20,'4. Priority&amp;Capability Results'!E:E,'4. Priority&amp;Capability Results'!I:I)</f>
        <v>No target set</v>
      </c>
      <c r="H20" s="109" t="str">
        <f>IF('2-3. Assessment &amp; Actions'!P54="Select.... ","Not Answered",IF('2-3. Assessment &amp; Actions'!P54=1,'2-3. Assessment &amp; Actions'!O54,IF('2-3. Assessment &amp; Actions'!P54=2,'2-3. Assessment &amp; Actions'!O55,'2-3. Assessment &amp; Actions'!O56)))</f>
        <v>Not Answered</v>
      </c>
      <c r="I20" s="108" t="str">
        <f>_xlfn.XLOOKUP(B20,'4. Priority&amp;Capability Results'!E:E,'4. Priority&amp;Capability Results'!J:J)</f>
        <v>Not Answered</v>
      </c>
      <c r="J20" s="113" t="s">
        <v>44</v>
      </c>
      <c r="K20" s="108" t="str">
        <f t="shared" si="0"/>
        <v>Not Answered</v>
      </c>
      <c r="L20" s="113"/>
      <c r="M20" s="113"/>
      <c r="N20" s="113"/>
      <c r="O20" s="123"/>
      <c r="P20" s="26"/>
    </row>
    <row r="21" spans="1:16" ht="34" x14ac:dyDescent="0.3">
      <c r="A21" s="26"/>
      <c r="B21" s="118" t="str">
        <v>M2.1</v>
      </c>
      <c r="C21" s="93" t="str">
        <f>_xlfn.XLOOKUP(B21,'2-3. Assessment &amp; Actions'!D:D,'2-3. Assessment &amp; Actions'!E:E)</f>
        <v>To what extent are environmental metrics integrated into the RI’s strategic planning or operational decision-making?</v>
      </c>
      <c r="D21" s="101" t="str">
        <f>_xlfn.XLOOKUP(B21,'4. Priority&amp;Capability Results'!E:E,'4. Priority&amp;Capability Results'!C:C)</f>
        <v>Yes</v>
      </c>
      <c r="E21" s="101" t="str">
        <f>_xlfn.XLOOKUP(B21,'2-3. Assessment &amp; Actions'!D:D,'2-3. Assessment &amp; Actions'!F:F)</f>
        <v>Cross-cutting</v>
      </c>
      <c r="F21" s="101" t="str">
        <f>_xlfn.XLOOKUP(B21,'2-3. Assessment &amp; Actions'!D:D,'2-3. Assessment &amp; Actions'!G:G)</f>
        <v>Climate Change</v>
      </c>
      <c r="G21" s="108" t="str">
        <f>_xlfn.XLOOKUP(B21,'4. Priority&amp;Capability Results'!E:E,'4. Priority&amp;Capability Results'!I:I)</f>
        <v>No target set</v>
      </c>
      <c r="H21" s="109" t="str">
        <f>IF('2-3. Assessment &amp; Actions'!P57="Select.... ","Not Answered",IF('2-3. Assessment &amp; Actions'!P57=1,'2-3. Assessment &amp; Actions'!O57,IF('2-3. Assessment &amp; Actions'!P57=2,'2-3. Assessment &amp; Actions'!O58,'2-3. Assessment &amp; Actions'!O59)))</f>
        <v>Not Answered</v>
      </c>
      <c r="I21" s="108" t="str">
        <f>_xlfn.XLOOKUP(B21,'4. Priority&amp;Capability Results'!E:E,'4. Priority&amp;Capability Results'!J:J)</f>
        <v>Not Answered</v>
      </c>
      <c r="J21" s="113" t="s">
        <v>44</v>
      </c>
      <c r="K21" s="108" t="str">
        <f t="shared" si="0"/>
        <v>Not Answered</v>
      </c>
      <c r="L21" s="113"/>
      <c r="M21" s="113"/>
      <c r="N21" s="113"/>
      <c r="O21" s="123"/>
      <c r="P21" s="26"/>
    </row>
    <row r="22" spans="1:16" ht="68" x14ac:dyDescent="0.3">
      <c r="A22" s="26"/>
      <c r="B22" s="118" t="str">
        <v>M3.1</v>
      </c>
      <c r="C22" s="93" t="str">
        <f>_xlfn.XLOOKUP(B22,'2-3. Assessment &amp; Actions'!D:D,'2-3. Assessment &amp; Actions'!E:E)</f>
        <v>Has the RI conducted or applied lifecycle assessments (LCA) to evaluate its environmental impact across different phases, including monitoring of Global Warming Potential (GWP) and Cumulative Energy Demand (CED)?</v>
      </c>
      <c r="D22" s="101" t="str">
        <f>_xlfn.XLOOKUP(B22,'4. Priority&amp;Capability Results'!E:E,'4. Priority&amp;Capability Results'!C:C)</f>
        <v>Yes</v>
      </c>
      <c r="E22" s="101" t="str">
        <f>_xlfn.XLOOKUP(B22,'2-3. Assessment &amp; Actions'!D:D,'2-3. Assessment &amp; Actions'!F:F)</f>
        <v>Cross-cutting</v>
      </c>
      <c r="F22" s="101" t="str">
        <f>_xlfn.XLOOKUP(B22,'2-3. Assessment &amp; Actions'!D:D,'2-3. Assessment &amp; Actions'!G:G)</f>
        <v>Climate Change</v>
      </c>
      <c r="G22" s="108" t="str">
        <f>_xlfn.XLOOKUP(B22,'4. Priority&amp;Capability Results'!E:E,'4. Priority&amp;Capability Results'!I:I)</f>
        <v>No target set</v>
      </c>
      <c r="H22" s="109" t="str">
        <f>IF('2-3. Assessment &amp; Actions'!P60="Select.... ","Not Answered",IF('2-3. Assessment &amp; Actions'!P60=1,'2-3. Assessment &amp; Actions'!O60,IF('2-3. Assessment &amp; Actions'!P60=2,'2-3. Assessment &amp; Actions'!O61,'2-3. Assessment &amp; Actions'!O62)))</f>
        <v>Not Answered</v>
      </c>
      <c r="I22" s="108" t="str">
        <f>_xlfn.XLOOKUP(B22,'4. Priority&amp;Capability Results'!E:E,'4. Priority&amp;Capability Results'!J:J)</f>
        <v>Not Answered</v>
      </c>
      <c r="J22" s="113" t="s">
        <v>44</v>
      </c>
      <c r="K22" s="108" t="str">
        <f t="shared" si="0"/>
        <v>Not Answered</v>
      </c>
      <c r="L22" s="113"/>
      <c r="M22" s="113"/>
      <c r="N22" s="113"/>
      <c r="O22" s="123"/>
      <c r="P22" s="26"/>
    </row>
    <row r="23" spans="1:16" ht="34" x14ac:dyDescent="0.3">
      <c r="A23" s="26"/>
      <c r="B23" s="118" t="str">
        <v>M4.1</v>
      </c>
      <c r="C23" s="93" t="str">
        <f>_xlfn.XLOOKUP(B23,'2-3. Assessment &amp; Actions'!D:D,'2-3. Assessment &amp; Actions'!E:E)</f>
        <v>Is WUE or any comparable metric tracked and used to assess the RI’s water efficiency performance?</v>
      </c>
      <c r="D23" s="101" t="str">
        <f>_xlfn.XLOOKUP(B23,'4. Priority&amp;Capability Results'!E:E,'4. Priority&amp;Capability Results'!C:C)</f>
        <v>Yes</v>
      </c>
      <c r="E23" s="101" t="str">
        <f>_xlfn.XLOOKUP(B23,'2-3. Assessment &amp; Actions'!D:D,'2-3. Assessment &amp; Actions'!F:F)</f>
        <v>Operation</v>
      </c>
      <c r="F23" s="101" t="str">
        <f>_xlfn.XLOOKUP(B23,'2-3. Assessment &amp; Actions'!D:D,'2-3. Assessment &amp; Actions'!G:G)</f>
        <v>Waste</v>
      </c>
      <c r="G23" s="108" t="str">
        <f>_xlfn.XLOOKUP(B23,'4. Priority&amp;Capability Results'!E:E,'4. Priority&amp;Capability Results'!I:I)</f>
        <v>No target set</v>
      </c>
      <c r="H23" s="109" t="str">
        <f>IF('2-3. Assessment &amp; Actions'!P63="Select.... ","Not Answered",IF('2-3. Assessment &amp; Actions'!P63=1,'2-3. Assessment &amp; Actions'!O63,IF('2-3. Assessment &amp; Actions'!P63=2,'2-3. Assessment &amp; Actions'!O64,'2-3. Assessment &amp; Actions'!O65)))</f>
        <v>Not Answered</v>
      </c>
      <c r="I23" s="108" t="str">
        <f>_xlfn.XLOOKUP(B23,'4. Priority&amp;Capability Results'!E:E,'4. Priority&amp;Capability Results'!J:J)</f>
        <v>Not Answered</v>
      </c>
      <c r="J23" s="113" t="s">
        <v>44</v>
      </c>
      <c r="K23" s="108" t="str">
        <f t="shared" si="0"/>
        <v>Not Answered</v>
      </c>
      <c r="L23" s="113"/>
      <c r="M23" s="113"/>
      <c r="N23" s="113"/>
      <c r="O23" s="123"/>
      <c r="P23" s="26"/>
    </row>
    <row r="24" spans="1:16" ht="34" x14ac:dyDescent="0.3">
      <c r="A24" s="26"/>
      <c r="B24" s="118" t="str">
        <v>M5.1</v>
      </c>
      <c r="C24" s="93" t="str">
        <f>_xlfn.XLOOKUP(B24,'2-3. Assessment &amp; Actions'!D:D,'2-3. Assessment &amp; Actions'!E:E)</f>
        <v>Are dedicated tools or platforms in place for tracking, visualising, or reporting environmental performance?</v>
      </c>
      <c r="D24" s="101" t="str">
        <f>_xlfn.XLOOKUP(B24,'4. Priority&amp;Capability Results'!E:E,'4. Priority&amp;Capability Results'!C:C)</f>
        <v>Yes</v>
      </c>
      <c r="E24" s="101" t="str">
        <f>_xlfn.XLOOKUP(B24,'2-3. Assessment &amp; Actions'!D:D,'2-3. Assessment &amp; Actions'!F:F)</f>
        <v>Operation</v>
      </c>
      <c r="F24" s="101" t="str">
        <f>_xlfn.XLOOKUP(B24,'2-3. Assessment &amp; Actions'!D:D,'2-3. Assessment &amp; Actions'!G:G)</f>
        <v>Non-environmental</v>
      </c>
      <c r="G24" s="108" t="str">
        <f>_xlfn.XLOOKUP(B24,'4. Priority&amp;Capability Results'!E:E,'4. Priority&amp;Capability Results'!I:I)</f>
        <v>No target set</v>
      </c>
      <c r="H24" s="109" t="str">
        <f>IF('2-3. Assessment &amp; Actions'!P66="Select.... ","Not Answered",IF('2-3. Assessment &amp; Actions'!P66=1,'2-3. Assessment &amp; Actions'!O66,IF('2-3. Assessment &amp; Actions'!P66=2,'2-3. Assessment &amp; Actions'!O67,'2-3. Assessment &amp; Actions'!O68)))</f>
        <v>Not Answered</v>
      </c>
      <c r="I24" s="108" t="str">
        <f>_xlfn.XLOOKUP(B24,'4. Priority&amp;Capability Results'!E:E,'4. Priority&amp;Capability Results'!J:J)</f>
        <v>Not Answered</v>
      </c>
      <c r="J24" s="113" t="s">
        <v>44</v>
      </c>
      <c r="K24" s="108" t="str">
        <f t="shared" si="0"/>
        <v>Not Answered</v>
      </c>
      <c r="L24" s="113"/>
      <c r="M24" s="113"/>
      <c r="N24" s="113"/>
      <c r="O24" s="123"/>
      <c r="P24" s="26"/>
    </row>
    <row r="25" spans="1:16" ht="51" x14ac:dyDescent="0.3">
      <c r="A25" s="26"/>
      <c r="B25" s="119" t="str">
        <v>P1.1</v>
      </c>
      <c r="C25" s="94" t="str">
        <f>_xlfn.XLOOKUP(B25,'2-3. Assessment &amp; Actions'!D:D,'2-3. Assessment &amp; Actions'!E:E)</f>
        <v>Are practices in place to reduce operational waste generation, including e-waste from IT systems and equipment?</v>
      </c>
      <c r="D25" s="102" t="str">
        <f>_xlfn.XLOOKUP(B25,'4. Priority&amp;Capability Results'!E:E,'4. Priority&amp;Capability Results'!C:C)</f>
        <v>Yes</v>
      </c>
      <c r="E25" s="102" t="str">
        <f>_xlfn.XLOOKUP(B25,'2-3. Assessment &amp; Actions'!D:D,'2-3. Assessment &amp; Actions'!F:F)</f>
        <v>Operation</v>
      </c>
      <c r="F25" s="102" t="str">
        <f>_xlfn.XLOOKUP(B25,'2-3. Assessment &amp; Actions'!D:D,'2-3. Assessment &amp; Actions'!G:G)</f>
        <v>Waste</v>
      </c>
      <c r="G25" s="108" t="str">
        <f>_xlfn.XLOOKUP(B25,'4. Priority&amp;Capability Results'!E:E,'4. Priority&amp;Capability Results'!I:I)</f>
        <v>No target set</v>
      </c>
      <c r="H25" s="109" t="str">
        <f>IF('2-3. Assessment &amp; Actions'!P70="Select.... ","Not Answered",IF('2-3. Assessment &amp; Actions'!P70=1,'2-3. Assessment &amp; Actions'!O70,IF('2-3. Assessment &amp; Actions'!P70=2,'2-3. Assessment &amp; Actions'!O71,'2-3. Assessment &amp; Actions'!O72)))</f>
        <v>Not Answered</v>
      </c>
      <c r="I25" s="108" t="str">
        <f>_xlfn.XLOOKUP(B25,'4. Priority&amp;Capability Results'!E:E,'4. Priority&amp;Capability Results'!J:J)</f>
        <v>Not Answered</v>
      </c>
      <c r="J25" s="113" t="s">
        <v>44</v>
      </c>
      <c r="K25" s="108" t="str">
        <f t="shared" si="0"/>
        <v>Not Answered</v>
      </c>
      <c r="L25" s="113"/>
      <c r="M25" s="113"/>
      <c r="N25" s="113"/>
      <c r="O25" s="123"/>
      <c r="P25" s="26"/>
    </row>
    <row r="26" spans="1:16" ht="34" x14ac:dyDescent="0.3">
      <c r="A26" s="26"/>
      <c r="B26" s="119" t="str">
        <v>P2.1</v>
      </c>
      <c r="C26" s="94" t="str">
        <f>_xlfn.XLOOKUP(B26,'2-3. Assessment &amp; Actions'!D:D,'2-3. Assessment &amp; Actions'!E:E)</f>
        <v>Does the RI apply defined procedures for the reuse, recycling, or proper disposal of decommissioned equipment?</v>
      </c>
      <c r="D26" s="102" t="str">
        <f>_xlfn.XLOOKUP(B26,'4. Priority&amp;Capability Results'!E:E,'4. Priority&amp;Capability Results'!C:C)</f>
        <v>Yes</v>
      </c>
      <c r="E26" s="102" t="str">
        <f>_xlfn.XLOOKUP(B26,'2-3. Assessment &amp; Actions'!D:D,'2-3. Assessment &amp; Actions'!F:F)</f>
        <v>Termination</v>
      </c>
      <c r="F26" s="102" t="str">
        <f>_xlfn.XLOOKUP(B26,'2-3. Assessment &amp; Actions'!D:D,'2-3. Assessment &amp; Actions'!G:G)</f>
        <v>Waste</v>
      </c>
      <c r="G26" s="108" t="str">
        <f>_xlfn.XLOOKUP(B26,'4. Priority&amp;Capability Results'!E:E,'4. Priority&amp;Capability Results'!I:I)</f>
        <v>No target set</v>
      </c>
      <c r="H26" s="109" t="str">
        <f>IF('2-3. Assessment &amp; Actions'!P73="Select.... ","Not Answered",IF('2-3. Assessment &amp; Actions'!P73=1,'2-3. Assessment &amp; Actions'!O73,IF('2-3. Assessment &amp; Actions'!P73=2,'2-3. Assessment &amp; Actions'!O74,'2-3. Assessment &amp; Actions'!O75)))</f>
        <v>Not Answered</v>
      </c>
      <c r="I26" s="108" t="str">
        <f>_xlfn.XLOOKUP(B26,'4. Priority&amp;Capability Results'!E:E,'4. Priority&amp;Capability Results'!J:J)</f>
        <v>Not Answered</v>
      </c>
      <c r="J26" s="113" t="s">
        <v>44</v>
      </c>
      <c r="K26" s="108" t="str">
        <f t="shared" si="0"/>
        <v>Not Answered</v>
      </c>
      <c r="L26" s="113"/>
      <c r="M26" s="113"/>
      <c r="N26" s="113"/>
      <c r="O26" s="123"/>
      <c r="P26" s="26"/>
    </row>
    <row r="27" spans="1:16" ht="51" x14ac:dyDescent="0.3">
      <c r="A27" s="26"/>
      <c r="B27" s="119" t="str">
        <v>P3.1</v>
      </c>
      <c r="C27" s="94" t="str">
        <f>_xlfn.XLOOKUP(B27,'2-3. Assessment &amp; Actions'!D:D,'2-3. Assessment &amp; Actions'!E:E)</f>
        <v>Are circular IT principles such as reuse, modularity, or refurbishment applied in procurement or infrastructure management?</v>
      </c>
      <c r="D27" s="102" t="str">
        <f>_xlfn.XLOOKUP(B27,'4. Priority&amp;Capability Results'!E:E,'4. Priority&amp;Capability Results'!C:C)</f>
        <v>Yes</v>
      </c>
      <c r="E27" s="102" t="str">
        <f>_xlfn.XLOOKUP(B27,'2-3. Assessment &amp; Actions'!D:D,'2-3. Assessment &amp; Actions'!F:F)</f>
        <v>Design</v>
      </c>
      <c r="F27" s="102" t="str">
        <f>_xlfn.XLOOKUP(B27,'2-3. Assessment &amp; Actions'!D:D,'2-3. Assessment &amp; Actions'!G:G)</f>
        <v>Waste</v>
      </c>
      <c r="G27" s="108" t="str">
        <f>_xlfn.XLOOKUP(B27,'4. Priority&amp;Capability Results'!E:E,'4. Priority&amp;Capability Results'!I:I)</f>
        <v>No target set</v>
      </c>
      <c r="H27" s="109" t="str">
        <f>IF('2-3. Assessment &amp; Actions'!P76="Select.... ","Not Answered",IF('2-3. Assessment &amp; Actions'!P76=1,'2-3. Assessment &amp; Actions'!O76,IF('2-3. Assessment &amp; Actions'!P76=2,'2-3. Assessment &amp; Actions'!O77,'2-3. Assessment &amp; Actions'!O78)))</f>
        <v>Not Answered</v>
      </c>
      <c r="I27" s="108" t="str">
        <f>_xlfn.XLOOKUP(B27,'4. Priority&amp;Capability Results'!E:E,'4. Priority&amp;Capability Results'!J:J)</f>
        <v>Not Answered</v>
      </c>
      <c r="J27" s="113" t="s">
        <v>44</v>
      </c>
      <c r="K27" s="108" t="str">
        <f t="shared" si="0"/>
        <v>Not Answered</v>
      </c>
      <c r="L27" s="113"/>
      <c r="M27" s="113"/>
      <c r="N27" s="113"/>
      <c r="O27" s="123"/>
      <c r="P27" s="26"/>
    </row>
    <row r="28" spans="1:16" ht="34" x14ac:dyDescent="0.3">
      <c r="A28" s="26"/>
      <c r="B28" s="119" t="str">
        <v>P4.1</v>
      </c>
      <c r="C28" s="94" t="str">
        <f>_xlfn.XLOOKUP(B28,'2-3. Assessment &amp; Actions'!D:D,'2-3. Assessment &amp; Actions'!E:E)</f>
        <v>Are measures in place to monitor and manage pollution risks related to air, water, or soil emissions from RI operations?</v>
      </c>
      <c r="D28" s="102" t="str">
        <f>_xlfn.XLOOKUP(B28,'4. Priority&amp;Capability Results'!E:E,'4. Priority&amp;Capability Results'!C:C)</f>
        <v>Yes</v>
      </c>
      <c r="E28" s="102" t="str">
        <f>_xlfn.XLOOKUP(B28,'2-3. Assessment &amp; Actions'!D:D,'2-3. Assessment &amp; Actions'!F:F)</f>
        <v>Operation</v>
      </c>
      <c r="F28" s="102" t="str">
        <f>_xlfn.XLOOKUP(B28,'2-3. Assessment &amp; Actions'!D:D,'2-3. Assessment &amp; Actions'!G:G)</f>
        <v>Waste</v>
      </c>
      <c r="G28" s="108" t="str">
        <f>_xlfn.XLOOKUP(B28,'4. Priority&amp;Capability Results'!E:E,'4. Priority&amp;Capability Results'!I:I)</f>
        <v>No target set</v>
      </c>
      <c r="H28" s="109" t="str">
        <f>IF('2-3. Assessment &amp; Actions'!P79="Select.... ","Not Answered",IF('2-3. Assessment &amp; Actions'!P79=1,'2-3. Assessment &amp; Actions'!O79,IF('2-3. Assessment &amp; Actions'!P79=2,'2-3. Assessment &amp; Actions'!O80,'2-3. Assessment &amp; Actions'!O81)))</f>
        <v>Not Answered</v>
      </c>
      <c r="I28" s="108" t="str">
        <f>_xlfn.XLOOKUP(B28,'4. Priority&amp;Capability Results'!E:E,'4. Priority&amp;Capability Results'!J:J)</f>
        <v>Not Answered</v>
      </c>
      <c r="J28" s="113" t="s">
        <v>44</v>
      </c>
      <c r="K28" s="108" t="str">
        <f t="shared" si="0"/>
        <v>Not Answered</v>
      </c>
      <c r="L28" s="113"/>
      <c r="M28" s="113"/>
      <c r="N28" s="113"/>
      <c r="O28" s="123"/>
      <c r="P28" s="26"/>
    </row>
    <row r="29" spans="1:16" ht="51" x14ac:dyDescent="0.3">
      <c r="A29" s="26"/>
      <c r="B29" s="119" t="str">
        <v>P5.1</v>
      </c>
      <c r="C29" s="94" t="str">
        <f>_xlfn.XLOOKUP(B29,'2-3. Assessment &amp; Actions'!D:D,'2-3. Assessment &amp; Actions'!E:E)</f>
        <v>Are environmental criteria applied when selecting materials or products, with preference for low-impact or non-toxic options?</v>
      </c>
      <c r="D29" s="102" t="str">
        <f>_xlfn.XLOOKUP(B29,'4. Priority&amp;Capability Results'!E:E,'4. Priority&amp;Capability Results'!C:C)</f>
        <v>Yes</v>
      </c>
      <c r="E29" s="102" t="str">
        <f>_xlfn.XLOOKUP(B29,'2-3. Assessment &amp; Actions'!D:D,'2-3. Assessment &amp; Actions'!F:F)</f>
        <v>Design</v>
      </c>
      <c r="F29" s="102" t="str">
        <f>_xlfn.XLOOKUP(B29,'2-3. Assessment &amp; Actions'!D:D,'2-3. Assessment &amp; Actions'!G:G)</f>
        <v>Waste</v>
      </c>
      <c r="G29" s="108" t="str">
        <f>_xlfn.XLOOKUP(B29,'4. Priority&amp;Capability Results'!E:E,'4. Priority&amp;Capability Results'!I:I)</f>
        <v>No target set</v>
      </c>
      <c r="H29" s="109" t="str">
        <f>IF('2-3. Assessment &amp; Actions'!P82="Select.... ","Not Answered",IF('2-3. Assessment &amp; Actions'!P82=1,'2-3. Assessment &amp; Actions'!O82,IF('2-3. Assessment &amp; Actions'!P82=2,'2-3. Assessment &amp; Actions'!O83,'2-3. Assessment &amp; Actions'!O84)))</f>
        <v>Not Answered</v>
      </c>
      <c r="I29" s="108" t="str">
        <f>_xlfn.XLOOKUP(B29,'4. Priority&amp;Capability Results'!E:E,'4. Priority&amp;Capability Results'!J:J)</f>
        <v>Not Answered</v>
      </c>
      <c r="J29" s="113" t="s">
        <v>44</v>
      </c>
      <c r="K29" s="108" t="str">
        <f t="shared" si="0"/>
        <v>Not Answered</v>
      </c>
      <c r="L29" s="113"/>
      <c r="M29" s="113"/>
      <c r="N29" s="113"/>
      <c r="O29" s="123"/>
      <c r="P29" s="26"/>
    </row>
    <row r="30" spans="1:16" ht="34" x14ac:dyDescent="0.3">
      <c r="A30" s="26"/>
      <c r="B30" s="120" t="str">
        <v>W1.1</v>
      </c>
      <c r="C30" s="95" t="str">
        <f>_xlfn.XLOOKUP(B30,'2-3. Assessment &amp; Actions'!D:D,'2-3. Assessment &amp; Actions'!E:E)</f>
        <v>To what extent does the RI monitor its water consumption and implement strategies to reduce it?</v>
      </c>
      <c r="D30" s="103" t="str">
        <f>_xlfn.XLOOKUP(B30,'4. Priority&amp;Capability Results'!E:E,'4. Priority&amp;Capability Results'!C:C)</f>
        <v>Yes</v>
      </c>
      <c r="E30" s="103" t="str">
        <f>_xlfn.XLOOKUP(B30,'2-3. Assessment &amp; Actions'!D:D,'2-3. Assessment &amp; Actions'!F:F)</f>
        <v>Operation</v>
      </c>
      <c r="F30" s="103" t="str">
        <f>_xlfn.XLOOKUP(B30,'2-3. Assessment &amp; Actions'!D:D,'2-3. Assessment &amp; Actions'!G:G)</f>
        <v>Water</v>
      </c>
      <c r="G30" s="108" t="str">
        <f>_xlfn.XLOOKUP(B30,'4. Priority&amp;Capability Results'!E:E,'4. Priority&amp;Capability Results'!I:I)</f>
        <v>No target set</v>
      </c>
      <c r="H30" s="109" t="str">
        <f>IF('2-3. Assessment &amp; Actions'!P86="Select.... ","Not Answered",IF('2-3. Assessment &amp; Actions'!P86=1,'2-3. Assessment &amp; Actions'!O86,IF('2-3. Assessment &amp; Actions'!P86=2,'2-3. Assessment &amp; Actions'!O87,'2-3. Assessment &amp; Actions'!O88)))</f>
        <v>Not Answered</v>
      </c>
      <c r="I30" s="108" t="str">
        <f>_xlfn.XLOOKUP(B30,'4. Priority&amp;Capability Results'!E:E,'4. Priority&amp;Capability Results'!J:J)</f>
        <v>Not Answered</v>
      </c>
      <c r="J30" s="113" t="s">
        <v>44</v>
      </c>
      <c r="K30" s="108" t="str">
        <f t="shared" si="0"/>
        <v>Not Answered</v>
      </c>
      <c r="L30" s="113"/>
      <c r="M30" s="113"/>
      <c r="N30" s="113"/>
      <c r="O30" s="123"/>
      <c r="P30" s="26"/>
    </row>
    <row r="31" spans="1:16" ht="51" x14ac:dyDescent="0.3">
      <c r="A31" s="26"/>
      <c r="B31" s="120" t="str">
        <v>W2.1</v>
      </c>
      <c r="C31" s="95" t="str">
        <f>_xlfn.XLOOKUP(B31,'2-3. Assessment &amp; Actions'!D:D,'2-3. Assessment &amp; Actions'!E:E)</f>
        <v>Does the RI assess and manage its potential impacts on local ecosystems or biodiversity, particularly for physical infrastructure?</v>
      </c>
      <c r="D31" s="103" t="str">
        <f>_xlfn.XLOOKUP(B31,'4. Priority&amp;Capability Results'!E:E,'4. Priority&amp;Capability Results'!C:C)</f>
        <v>Yes</v>
      </c>
      <c r="E31" s="103" t="str">
        <f>_xlfn.XLOOKUP(B31,'2-3. Assessment &amp; Actions'!D:D,'2-3. Assessment &amp; Actions'!F:F)</f>
        <v>Design</v>
      </c>
      <c r="F31" s="103" t="str">
        <f>_xlfn.XLOOKUP(B31,'2-3. Assessment &amp; Actions'!D:D,'2-3. Assessment &amp; Actions'!G:G)</f>
        <v>Water</v>
      </c>
      <c r="G31" s="108" t="str">
        <f>_xlfn.XLOOKUP(B31,'4. Priority&amp;Capability Results'!E:E,'4. Priority&amp;Capability Results'!I:I)</f>
        <v>No target set</v>
      </c>
      <c r="H31" s="109" t="str">
        <f>IF('2-3. Assessment &amp; Actions'!P89="Select.... ","Not Answered",IF('2-3. Assessment &amp; Actions'!P89=1,'2-3. Assessment &amp; Actions'!O89,IF('2-3. Assessment &amp; Actions'!P89=2,'2-3. Assessment &amp; Actions'!O90,'2-3. Assessment &amp; Actions'!O91)))</f>
        <v>Not Answered</v>
      </c>
      <c r="I31" s="108" t="str">
        <f>_xlfn.XLOOKUP(B31,'4. Priority&amp;Capability Results'!E:E,'4. Priority&amp;Capability Results'!J:J)</f>
        <v>Not Answered</v>
      </c>
      <c r="J31" s="113" t="s">
        <v>44</v>
      </c>
      <c r="K31" s="108" t="str">
        <f t="shared" si="0"/>
        <v>Not Answered</v>
      </c>
      <c r="L31" s="113"/>
      <c r="M31" s="113"/>
      <c r="N31" s="113"/>
      <c r="O31" s="123"/>
      <c r="P31" s="26"/>
    </row>
    <row r="32" spans="1:16" ht="34" x14ac:dyDescent="0.3">
      <c r="A32" s="26"/>
      <c r="B32" s="120" t="str">
        <v>W3.1</v>
      </c>
      <c r="C32" s="95" t="str">
        <f>_xlfn.XLOOKUP(B32,'2-3. Assessment &amp; Actions'!D:D,'2-3. Assessment &amp; Actions'!E:E)</f>
        <v>Are there systems or practices in place for rainwater harvesting, water reuse, or managing stormwater runoff?</v>
      </c>
      <c r="D32" s="103" t="str">
        <f>_xlfn.XLOOKUP(B32,'4. Priority&amp;Capability Results'!E:E,'4. Priority&amp;Capability Results'!C:C)</f>
        <v>Yes</v>
      </c>
      <c r="E32" s="103" t="str">
        <f>_xlfn.XLOOKUP(B32,'2-3. Assessment &amp; Actions'!D:D,'2-3. Assessment &amp; Actions'!F:F)</f>
        <v>Design</v>
      </c>
      <c r="F32" s="103" t="str">
        <f>_xlfn.XLOOKUP(B32,'2-3. Assessment &amp; Actions'!D:D,'2-3. Assessment &amp; Actions'!G:G)</f>
        <v>Water</v>
      </c>
      <c r="G32" s="108" t="str">
        <f>_xlfn.XLOOKUP(B32,'4. Priority&amp;Capability Results'!E:E,'4. Priority&amp;Capability Results'!I:I)</f>
        <v>No target set</v>
      </c>
      <c r="H32" s="109" t="str">
        <f>IF('2-3. Assessment &amp; Actions'!P92="Select.... ","Not Answered",IF('2-3. Assessment &amp; Actions'!P92=1,'2-3. Assessment &amp; Actions'!O92,IF('2-3. Assessment &amp; Actions'!P92=2,'2-3. Assessment &amp; Actions'!O93,'2-3. Assessment &amp; Actions'!O94)))</f>
        <v>Not Answered</v>
      </c>
      <c r="I32" s="108" t="str">
        <f>_xlfn.XLOOKUP(B32,'4. Priority&amp;Capability Results'!E:E,'4. Priority&amp;Capability Results'!J:J)</f>
        <v>Not Answered</v>
      </c>
      <c r="J32" s="113" t="s">
        <v>44</v>
      </c>
      <c r="K32" s="108" t="str">
        <f t="shared" si="0"/>
        <v>Not Answered</v>
      </c>
      <c r="L32" s="113"/>
      <c r="M32" s="113"/>
      <c r="N32" s="113"/>
      <c r="O32" s="123"/>
      <c r="P32" s="26"/>
    </row>
    <row r="33" spans="1:16" ht="51" x14ac:dyDescent="0.3">
      <c r="A33" s="26"/>
      <c r="B33" s="120" t="str">
        <v>W4.1</v>
      </c>
      <c r="C33" s="95" t="str">
        <f>_xlfn.XLOOKUP(B33,'2-3. Assessment &amp; Actions'!D:D,'2-3. Assessment &amp; Actions'!E:E)</f>
        <v>Does the RI use water-based cooling systems, and are measures in place to optimise their water efficiency and minimise environmental impact?</v>
      </c>
      <c r="D33" s="103" t="str">
        <f>_xlfn.XLOOKUP(B33,'4. Priority&amp;Capability Results'!E:E,'4. Priority&amp;Capability Results'!C:C)</f>
        <v>Yes</v>
      </c>
      <c r="E33" s="103" t="str">
        <f>_xlfn.XLOOKUP(B33,'2-3. Assessment &amp; Actions'!D:D,'2-3. Assessment &amp; Actions'!F:F)</f>
        <v>Operation</v>
      </c>
      <c r="F33" s="103" t="str">
        <f>_xlfn.XLOOKUP(B33,'2-3. Assessment &amp; Actions'!D:D,'2-3. Assessment &amp; Actions'!G:G)</f>
        <v>Water</v>
      </c>
      <c r="G33" s="108" t="str">
        <f>_xlfn.XLOOKUP(B33,'4. Priority&amp;Capability Results'!E:E,'4. Priority&amp;Capability Results'!I:I)</f>
        <v>No target set</v>
      </c>
      <c r="H33" s="109" t="str">
        <f>IF('2-3. Assessment &amp; Actions'!P95="Select.... ","Not Answered",IF('2-3. Assessment &amp; Actions'!P95=1,'2-3. Assessment &amp; Actions'!O95,IF('2-3. Assessment &amp; Actions'!P95=2,'2-3. Assessment &amp; Actions'!O96,'2-3. Assessment &amp; Actions'!O97)))</f>
        <v>Not Answered</v>
      </c>
      <c r="I33" s="108" t="str">
        <f>_xlfn.XLOOKUP(B33,'4. Priority&amp;Capability Results'!E:E,'4. Priority&amp;Capability Results'!J:J)</f>
        <v>Not Answered</v>
      </c>
      <c r="J33" s="113" t="s">
        <v>44</v>
      </c>
      <c r="K33" s="108" t="str">
        <f t="shared" si="0"/>
        <v>Not Answered</v>
      </c>
      <c r="L33" s="113"/>
      <c r="M33" s="113"/>
      <c r="N33" s="113"/>
      <c r="O33" s="123"/>
      <c r="P33" s="26"/>
    </row>
    <row r="34" spans="1:16" ht="51" x14ac:dyDescent="0.3">
      <c r="A34" s="26"/>
      <c r="B34" s="121" t="str">
        <v>L1.1</v>
      </c>
      <c r="C34" s="96" t="str">
        <f>_xlfn.XLOOKUP(B34,'2-3. Assessment &amp; Actions'!D:D,'2-3. Assessment &amp; Actions'!E:E)</f>
        <v>To what extent are sustainability considerations integrated into the design and planning of new infrastructure or services?</v>
      </c>
      <c r="D34" s="104" t="str">
        <f>_xlfn.XLOOKUP(B34,'4. Priority&amp;Capability Results'!E:E,'4. Priority&amp;Capability Results'!C:C)</f>
        <v>Yes</v>
      </c>
      <c r="E34" s="104" t="str">
        <f>_xlfn.XLOOKUP(B34,'2-3. Assessment &amp; Actions'!D:D,'2-3. Assessment &amp; Actions'!F:F)</f>
        <v>Design</v>
      </c>
      <c r="F34" s="104" t="str">
        <f>_xlfn.XLOOKUP(B34,'2-3. Assessment &amp; Actions'!D:D,'2-3. Assessment &amp; Actions'!G:G)</f>
        <v>Non-environmental</v>
      </c>
      <c r="G34" s="108" t="str">
        <f>_xlfn.XLOOKUP(B34,'4. Priority&amp;Capability Results'!E:E,'4. Priority&amp;Capability Results'!I:I)</f>
        <v>No target set</v>
      </c>
      <c r="H34" s="109" t="str">
        <f>IF('2-3. Assessment &amp; Actions'!P99="Select.... ","Not Answered",IF('2-3. Assessment &amp; Actions'!P99=1,'2-3. Assessment &amp; Actions'!O99,IF('2-3. Assessment &amp; Actions'!P99=2,'2-3. Assessment &amp; Actions'!O100,'2-3. Assessment &amp; Actions'!O101)))</f>
        <v>Not Answered</v>
      </c>
      <c r="I34" s="108" t="str">
        <f>_xlfn.XLOOKUP(B34,'4. Priority&amp;Capability Results'!E:E,'4. Priority&amp;Capability Results'!J:J)</f>
        <v>Not Answered</v>
      </c>
      <c r="J34" s="113" t="s">
        <v>44</v>
      </c>
      <c r="K34" s="108" t="str">
        <f t="shared" si="0"/>
        <v>Not Answered</v>
      </c>
      <c r="L34" s="113"/>
      <c r="M34" s="113"/>
      <c r="N34" s="113"/>
      <c r="O34" s="123"/>
      <c r="P34" s="26"/>
    </row>
    <row r="35" spans="1:16" ht="34" x14ac:dyDescent="0.3">
      <c r="A35" s="26"/>
      <c r="B35" s="121" t="str">
        <v>L2.1</v>
      </c>
      <c r="C35" s="96" t="str">
        <f>_xlfn.XLOOKUP(B35,'2-3. Assessment &amp; Actions'!D:D,'2-3. Assessment &amp; Actions'!E:E)</f>
        <v>Are sustainability criteria applied during the implementation or deployment of infrastructure components and systems?</v>
      </c>
      <c r="D35" s="104" t="str">
        <f>_xlfn.XLOOKUP(B35,'4. Priority&amp;Capability Results'!E:E,'4. Priority&amp;Capability Results'!C:C)</f>
        <v>Yes</v>
      </c>
      <c r="E35" s="104" t="str">
        <f>_xlfn.XLOOKUP(B35,'2-3. Assessment &amp; Actions'!D:D,'2-3. Assessment &amp; Actions'!F:F)</f>
        <v>Implementation</v>
      </c>
      <c r="F35" s="104" t="str">
        <f>_xlfn.XLOOKUP(B35,'2-3. Assessment &amp; Actions'!D:D,'2-3. Assessment &amp; Actions'!G:G)</f>
        <v>Non-environmental</v>
      </c>
      <c r="G35" s="108" t="str">
        <f>_xlfn.XLOOKUP(B35,'4. Priority&amp;Capability Results'!E:E,'4. Priority&amp;Capability Results'!I:I)</f>
        <v>No target set</v>
      </c>
      <c r="H35" s="109" t="str">
        <f>IF('2-3. Assessment &amp; Actions'!P102="Select.... ","Not Answered",IF('2-3. Assessment &amp; Actions'!P102=1,'2-3. Assessment &amp; Actions'!O102,IF('2-3. Assessment &amp; Actions'!P105=2,'2-3. Assessment &amp; Actions'!O103,'2-3. Assessment &amp; Actions'!O104)))</f>
        <v>Not Answered</v>
      </c>
      <c r="I35" s="108" t="str">
        <f>_xlfn.XLOOKUP(B35,'4. Priority&amp;Capability Results'!E:E,'4. Priority&amp;Capability Results'!J:J)</f>
        <v>Not Answered</v>
      </c>
      <c r="J35" s="113" t="s">
        <v>44</v>
      </c>
      <c r="K35" s="108" t="str">
        <f t="shared" si="0"/>
        <v>Not Answered</v>
      </c>
      <c r="L35" s="113"/>
      <c r="M35" s="113"/>
      <c r="N35" s="113"/>
      <c r="O35" s="123"/>
      <c r="P35" s="26"/>
    </row>
    <row r="36" spans="1:16" ht="34" x14ac:dyDescent="0.3">
      <c r="A36" s="26"/>
      <c r="B36" s="121" t="str">
        <v>L3.1</v>
      </c>
      <c r="C36" s="96" t="str">
        <f>_xlfn.XLOOKUP(B36,'2-3. Assessment &amp; Actions'!D:D,'2-3. Assessment &amp; Actions'!E:E)</f>
        <v>What sustainability practices are in place for the operation and maintenance of the RI’s infrastructure and services?</v>
      </c>
      <c r="D36" s="104" t="str">
        <f>_xlfn.XLOOKUP(B36,'4. Priority&amp;Capability Results'!E:E,'4. Priority&amp;Capability Results'!C:C)</f>
        <v>Yes</v>
      </c>
      <c r="E36" s="104" t="str">
        <f>_xlfn.XLOOKUP(B36,'2-3. Assessment &amp; Actions'!D:D,'2-3. Assessment &amp; Actions'!F:F)</f>
        <v>Operation</v>
      </c>
      <c r="F36" s="104" t="str">
        <f>_xlfn.XLOOKUP(B36,'2-3. Assessment &amp; Actions'!D:D,'2-3. Assessment &amp; Actions'!G:G)</f>
        <v>Non-environmental</v>
      </c>
      <c r="G36" s="108" t="str">
        <f>_xlfn.XLOOKUP(B36,'4. Priority&amp;Capability Results'!E:E,'4. Priority&amp;Capability Results'!I:I)</f>
        <v>No target set</v>
      </c>
      <c r="H36" s="109" t="str">
        <f>IF('2-3. Assessment &amp; Actions'!P105="Select.... ","Not Answered",IF('2-3. Assessment &amp; Actions'!P105=1,'2-3. Assessment &amp; Actions'!O105,IF('2-3. Assessment &amp; Actions'!P105=2,'2-3. Assessment &amp; Actions'!O106,'2-3. Assessment &amp; Actions'!O107)))</f>
        <v>Not Answered</v>
      </c>
      <c r="I36" s="108" t="str">
        <f>_xlfn.XLOOKUP(B36,'4. Priority&amp;Capability Results'!E:E,'4. Priority&amp;Capability Results'!J:J)</f>
        <v>Not Answered</v>
      </c>
      <c r="J36" s="113" t="s">
        <v>44</v>
      </c>
      <c r="K36" s="108" t="str">
        <f t="shared" si="0"/>
        <v>Not Answered</v>
      </c>
      <c r="L36" s="113"/>
      <c r="M36" s="113"/>
      <c r="N36" s="113"/>
      <c r="O36" s="123"/>
      <c r="P36" s="26"/>
    </row>
    <row r="37" spans="1:16" ht="51" x14ac:dyDescent="0.3">
      <c r="B37" s="121" t="str">
        <v>L4.1</v>
      </c>
      <c r="C37" s="96" t="str">
        <f>_xlfn.XLOOKUP(B37,'2-3. Assessment &amp; Actions'!D:D,'2-3. Assessment &amp; Actions'!E:E)</f>
        <v>Does the RI include environmental considerations in its decommissioning or termination plans for infrastructure or services?</v>
      </c>
      <c r="D37" s="104" t="str">
        <f>_xlfn.XLOOKUP(B37,'4. Priority&amp;Capability Results'!E:E,'4. Priority&amp;Capability Results'!C:C)</f>
        <v>Yes</v>
      </c>
      <c r="E37" s="104" t="str">
        <f>_xlfn.XLOOKUP(B37,'2-3. Assessment &amp; Actions'!D:D,'2-3. Assessment &amp; Actions'!F:F)</f>
        <v>Termination</v>
      </c>
      <c r="F37" s="104" t="str">
        <f>_xlfn.XLOOKUP(B37,'2-3. Assessment &amp; Actions'!D:D,'2-3. Assessment &amp; Actions'!G:G)</f>
        <v>Waste</v>
      </c>
      <c r="G37" s="108" t="str">
        <f>_xlfn.XLOOKUP(B37,'4. Priority&amp;Capability Results'!E:E,'4. Priority&amp;Capability Results'!I:I)</f>
        <v>No target set</v>
      </c>
      <c r="H37" s="109" t="str">
        <f>IF('2-3. Assessment &amp; Actions'!P108="Select.... ","Not Answered",IF('2-3. Assessment &amp; Actions'!P108=1,'2-3. Assessment &amp; Actions'!O108,IF('2-3. Assessment &amp; Actions'!P108=2,'2-3. Assessment &amp; Actions'!O109,'2-3. Assessment &amp; Actions'!O110)))</f>
        <v>Not Answered</v>
      </c>
      <c r="I37" s="108" t="str">
        <f>_xlfn.XLOOKUP(B37,'4. Priority&amp;Capability Results'!E:E,'4. Priority&amp;Capability Results'!J:J)</f>
        <v>Not Answered</v>
      </c>
      <c r="J37" s="113" t="s">
        <v>44</v>
      </c>
      <c r="K37" s="108" t="str">
        <f t="shared" ref="K37" si="1">IF(D37="No", "Not in Scope",
IF(I37="Not Answered", "Not Answered",
IF(J37="Select…. ", "Select the Effort Required",
IF(I37="High",
    IF(J37="Low", "Immediate",
    IF(J37="Medium", "Urgent", "Planned")),
IF(I37="Medium",
    IF(J37="Low", "Urgent",
    IF(J37="Medium", "Planned", "Low Priority")),
IF(I37="Low",
    IF(J37="Low", "Planned",
    IF(J37="Medium", "Low Priority", "No Action Needed")),
""))))))</f>
        <v>Not Answered</v>
      </c>
      <c r="P37" s="26"/>
    </row>
  </sheetData>
  <mergeCells count="2">
    <mergeCell ref="A1:P1"/>
    <mergeCell ref="A2:P2"/>
  </mergeCells>
  <conditionalFormatting sqref="B5:O5">
    <cfRule type="expression" dxfId="44" priority="70" stopIfTrue="1">
      <formula>$D$5="No"</formula>
    </cfRule>
  </conditionalFormatting>
  <conditionalFormatting sqref="B6:O6">
    <cfRule type="expression" dxfId="43" priority="36" stopIfTrue="1">
      <formula>$D$6="No"</formula>
    </cfRule>
  </conditionalFormatting>
  <conditionalFormatting sqref="B7:O7">
    <cfRule type="expression" dxfId="42" priority="35" stopIfTrue="1">
      <formula>$D$7="No"</formula>
    </cfRule>
  </conditionalFormatting>
  <conditionalFormatting sqref="B8:O8">
    <cfRule type="expression" dxfId="41" priority="34" stopIfTrue="1">
      <formula>$D$8="No"</formula>
    </cfRule>
  </conditionalFormatting>
  <conditionalFormatting sqref="B14:O14">
    <cfRule type="expression" dxfId="40" priority="28" stopIfTrue="1">
      <formula>$D$14="No"</formula>
    </cfRule>
  </conditionalFormatting>
  <conditionalFormatting sqref="B15:O15">
    <cfRule type="expression" dxfId="39" priority="27" stopIfTrue="1">
      <formula>$D$15="No"</formula>
    </cfRule>
  </conditionalFormatting>
  <conditionalFormatting sqref="B16:O16">
    <cfRule type="expression" dxfId="38" priority="26" stopIfTrue="1">
      <formula>$D$16="No"</formula>
    </cfRule>
  </conditionalFormatting>
  <conditionalFormatting sqref="B17:O17">
    <cfRule type="expression" dxfId="37" priority="25" stopIfTrue="1">
      <formula>$D$17="No"</formula>
    </cfRule>
  </conditionalFormatting>
  <conditionalFormatting sqref="B18:O18">
    <cfRule type="expression" dxfId="36" priority="24" stopIfTrue="1">
      <formula>$D$18="No"</formula>
    </cfRule>
  </conditionalFormatting>
  <conditionalFormatting sqref="B19:O19">
    <cfRule type="expression" dxfId="35" priority="23" stopIfTrue="1">
      <formula>$D$19="No"</formula>
    </cfRule>
  </conditionalFormatting>
  <conditionalFormatting sqref="B20:O20">
    <cfRule type="expression" dxfId="34" priority="22" stopIfTrue="1">
      <formula>$D$20="No"</formula>
    </cfRule>
  </conditionalFormatting>
  <conditionalFormatting sqref="B21:O21">
    <cfRule type="expression" dxfId="33" priority="21" stopIfTrue="1">
      <formula>$D$21="No"</formula>
    </cfRule>
  </conditionalFormatting>
  <conditionalFormatting sqref="B22:O22">
    <cfRule type="expression" dxfId="32" priority="20" stopIfTrue="1">
      <formula>$D$22="No"</formula>
    </cfRule>
  </conditionalFormatting>
  <conditionalFormatting sqref="B23:O23">
    <cfRule type="expression" dxfId="31" priority="19" stopIfTrue="1">
      <formula>$D$23="No"</formula>
    </cfRule>
  </conditionalFormatting>
  <conditionalFormatting sqref="B24:O24">
    <cfRule type="expression" dxfId="30" priority="18" stopIfTrue="1">
      <formula>$D$24="No"</formula>
    </cfRule>
  </conditionalFormatting>
  <conditionalFormatting sqref="B25:O25">
    <cfRule type="expression" dxfId="29" priority="17" stopIfTrue="1">
      <formula>$D$25="No"</formula>
    </cfRule>
  </conditionalFormatting>
  <conditionalFormatting sqref="B26:O26">
    <cfRule type="expression" dxfId="28" priority="16" stopIfTrue="1">
      <formula>$D$26="No"</formula>
    </cfRule>
  </conditionalFormatting>
  <conditionalFormatting sqref="B27:O27">
    <cfRule type="expression" dxfId="27" priority="15" stopIfTrue="1">
      <formula>$D$27="No"</formula>
    </cfRule>
  </conditionalFormatting>
  <conditionalFormatting sqref="B28:O28">
    <cfRule type="expression" dxfId="26" priority="14" stopIfTrue="1">
      <formula>$D$28="No"</formula>
    </cfRule>
  </conditionalFormatting>
  <conditionalFormatting sqref="B29:O29">
    <cfRule type="expression" dxfId="25" priority="13" stopIfTrue="1">
      <formula>$D$29="No"</formula>
    </cfRule>
  </conditionalFormatting>
  <conditionalFormatting sqref="B30:O30">
    <cfRule type="expression" dxfId="24" priority="12" stopIfTrue="1">
      <formula>$D$30="No"</formula>
    </cfRule>
  </conditionalFormatting>
  <conditionalFormatting sqref="B31:O31">
    <cfRule type="expression" dxfId="23" priority="11" stopIfTrue="1">
      <formula>$D$31="No"</formula>
    </cfRule>
  </conditionalFormatting>
  <conditionalFormatting sqref="B32:O32">
    <cfRule type="expression" dxfId="22" priority="10" stopIfTrue="1">
      <formula>$D$32="No"</formula>
    </cfRule>
  </conditionalFormatting>
  <conditionalFormatting sqref="B33:O33">
    <cfRule type="expression" dxfId="21" priority="9" stopIfTrue="1">
      <formula>$D$33="No"</formula>
    </cfRule>
  </conditionalFormatting>
  <conditionalFormatting sqref="B34:O34">
    <cfRule type="expression" dxfId="20" priority="8" stopIfTrue="1">
      <formula>$D$34="No"</formula>
    </cfRule>
  </conditionalFormatting>
  <conditionalFormatting sqref="B35:O35">
    <cfRule type="expression" dxfId="19" priority="7" stopIfTrue="1">
      <formula>$D$35="No"</formula>
    </cfRule>
  </conditionalFormatting>
  <conditionalFormatting sqref="B36:O36">
    <cfRule type="expression" dxfId="18" priority="6" stopIfTrue="1">
      <formula>$D$36="No"</formula>
    </cfRule>
  </conditionalFormatting>
  <conditionalFormatting sqref="B37:O37">
    <cfRule type="expression" dxfId="17" priority="5" stopIfTrue="1">
      <formula>$D$37="No"</formula>
    </cfRule>
  </conditionalFormatting>
  <conditionalFormatting sqref="G1:G1048576">
    <cfRule type="containsText" dxfId="16" priority="88" operator="containsText" text="Targets not met">
      <formula>NOT(ISERROR(SEARCH("Targets not met",G1)))</formula>
    </cfRule>
    <cfRule type="containsText" dxfId="15" priority="89" operator="containsText" text="Targets met">
      <formula>NOT(ISERROR(SEARCH("Targets met",G1)))</formula>
    </cfRule>
  </conditionalFormatting>
  <conditionalFormatting sqref="I1:J1048576">
    <cfRule type="containsText" dxfId="14" priority="73" operator="containsText" text="Low">
      <formula>NOT(ISERROR(SEARCH("Low",I1)))</formula>
    </cfRule>
    <cfRule type="containsText" dxfId="13" priority="74" operator="containsText" text="Medium">
      <formula>NOT(ISERROR(SEARCH("Medium",I1)))</formula>
    </cfRule>
    <cfRule type="containsText" dxfId="12" priority="75" operator="containsText" text="High">
      <formula>NOT(ISERROR(SEARCH("High",I1)))</formula>
    </cfRule>
  </conditionalFormatting>
  <conditionalFormatting sqref="J1:J1048576">
    <cfRule type="containsText" dxfId="11" priority="90" operator="containsText" text="Select....">
      <formula>NOT(ISERROR(SEARCH("Select....",J1)))</formula>
    </cfRule>
  </conditionalFormatting>
  <conditionalFormatting sqref="J14 J19 J24 J29 J34 B9:O9">
    <cfRule type="expression" dxfId="10" priority="33" stopIfTrue="1">
      <formula>$D$9="No"</formula>
    </cfRule>
  </conditionalFormatting>
  <conditionalFormatting sqref="J15 J20 J25 J30 J35 B10:O10">
    <cfRule type="expression" dxfId="9" priority="32" stopIfTrue="1">
      <formula>$D$10="No"</formula>
    </cfRule>
  </conditionalFormatting>
  <conditionalFormatting sqref="J16 J21 J26 J31 J36 B11:O11">
    <cfRule type="expression" dxfId="8" priority="31" stopIfTrue="1">
      <formula>$D$11="No"</formula>
    </cfRule>
  </conditionalFormatting>
  <conditionalFormatting sqref="J17 J22 J27 J32 J37 B12:O12">
    <cfRule type="expression" dxfId="7" priority="30" stopIfTrue="1">
      <formula>$D$12="No"</formula>
    </cfRule>
  </conditionalFormatting>
  <conditionalFormatting sqref="J18 J23 J28 J33 B13:O13">
    <cfRule type="expression" dxfId="6" priority="29" stopIfTrue="1">
      <formula>$D$13="No"</formula>
    </cfRule>
  </conditionalFormatting>
  <conditionalFormatting sqref="K1:O1048576">
    <cfRule type="containsText" dxfId="5" priority="76" operator="containsText" text="Select The Effort Required">
      <formula>NOT(ISERROR(SEARCH("Select The Effort Required",K1)))</formula>
    </cfRule>
    <cfRule type="containsText" dxfId="4" priority="77" operator="containsText" text="No Action Needed">
      <formula>NOT(ISERROR(SEARCH("No Action Needed",K1)))</formula>
    </cfRule>
    <cfRule type="containsText" dxfId="3" priority="78" operator="containsText" text="Low priority">
      <formula>NOT(ISERROR(SEARCH("Low priority",K1)))</formula>
    </cfRule>
    <cfRule type="containsText" dxfId="2" priority="79" operator="containsText" text="Planned">
      <formula>NOT(ISERROR(SEARCH("Planned",K1)))</formula>
    </cfRule>
    <cfRule type="containsText" dxfId="1" priority="80" operator="containsText" text="Urgent">
      <formula>NOT(ISERROR(SEARCH("Urgent",K1)))</formula>
    </cfRule>
    <cfRule type="containsText" dxfId="0" priority="81" operator="containsText" text="Immediate">
      <formula>NOT(ISERROR(SEARCH("Immediate",K1)))</formula>
    </cfRule>
  </conditionalFormatting>
  <dataValidations count="1">
    <dataValidation type="list" allowBlank="1" showInputMessage="1" showErrorMessage="1" sqref="J5:J37" xr:uid="{689E62EF-F641-684A-A983-DBA5FC92578A}">
      <formula1>"Select.... ,Low, Medium,High"</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0. Introduction</vt:lpstr>
      <vt:lpstr>1. Scope &amp; Goals</vt:lpstr>
      <vt:lpstr>2-3. Assessment &amp; Actions</vt:lpstr>
      <vt:lpstr>4. Priority&amp;Capability Results</vt:lpstr>
      <vt:lpstr>5-6. Action Plan &amp; Monitoring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Damla Rowlandson</dc:creator>
  <cp:lastModifiedBy>Damla Rowlandson</cp:lastModifiedBy>
  <dcterms:created xsi:type="dcterms:W3CDTF">2025-03-28T13:51:30Z</dcterms:created>
  <dcterms:modified xsi:type="dcterms:W3CDTF">2025-08-22T13:52:32Z</dcterms:modified>
</cp:coreProperties>
</file>